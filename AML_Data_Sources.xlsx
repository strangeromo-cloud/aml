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源" sheetId="1" state="visible" r:id="rId1"/>
    <sheet xmlns:r="http://schemas.openxmlformats.org/officeDocument/2006/relationships" name="按类型分布" sheetId="2" state="visible" r:id="rId2"/>
    <sheet xmlns:r="http://schemas.openxmlformats.org/officeDocument/2006/relationships" name="按更新频率分布" sheetId="3" state="visible" r:id="rId3"/>
    <sheet xmlns:r="http://schemas.openxmlformats.org/officeDocument/2006/relationships" name="集成难度" sheetId="4" state="visible" r:id="rId4"/>
    <sheet xmlns:r="http://schemas.openxmlformats.org/officeDocument/2006/relationships" name="实务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64748B"/>
      <sz val="10"/>
    </font>
    <font>
      <name val="Arial"/>
      <b val="1"/>
      <color rgb="00F59E0B"/>
      <sz val="10"/>
    </font>
    <font>
      <name val="Courier New"/>
      <b val="1"/>
      <color rgb="00111827"/>
      <sz val="10"/>
    </font>
    <font>
      <name val="Arial"/>
      <color rgb="00EF4444"/>
      <sz val="10"/>
    </font>
    <font>
      <name val="Arial"/>
      <b val="1"/>
      <color rgb="0010B981"/>
      <sz val="10"/>
    </font>
    <font>
      <name val="Arial"/>
      <color rgb="000563C1"/>
      <sz val="9"/>
      <u val="single"/>
    </font>
    <font>
      <name val="Arial"/>
      <b val="1"/>
      <color rgb="000EA5E9"/>
      <sz val="10"/>
    </font>
    <font>
      <name val="Arial"/>
      <b val="1"/>
      <color rgb="007C3AED"/>
      <sz val="10"/>
    </font>
    <font>
      <name val="Arial"/>
      <color rgb="006B7280"/>
      <sz val="10"/>
    </font>
    <font>
      <name val="Arial"/>
      <b val="1"/>
      <sz val="14"/>
    </font>
    <font>
      <name val="Arial"/>
      <b val="1"/>
      <color rgb="00F59E0B"/>
      <sz val="11"/>
    </font>
    <font>
      <name val="Arial"/>
      <sz val="9"/>
    </font>
    <font>
      <name val="Arial"/>
      <b val="1"/>
      <color rgb="0010B981"/>
      <sz val="11"/>
    </font>
    <font>
      <name val="Arial"/>
      <b val="1"/>
      <color rgb="000EA5E9"/>
      <sz val="11"/>
    </font>
    <font>
      <name val="Arial"/>
      <b val="1"/>
      <sz val="11"/>
    </font>
    <font>
      <name val="Arial"/>
      <b val="1"/>
      <sz val="12"/>
    </font>
    <font>
      <name val="Arial"/>
      <i val="1"/>
      <color rgb="00475569"/>
      <sz val="10"/>
    </font>
    <font>
      <name val="Arial"/>
      <i val="1"/>
      <sz val="10"/>
    </font>
    <font>
      <name val="Arial"/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top" wrapText="1"/>
    </xf>
    <xf numFmtId="0" fontId="17" fillId="0" borderId="1" pivotButton="0" quotePrefix="0" xfId="0"/>
    <xf numFmtId="0" fontId="18" fillId="0" borderId="1" pivotButton="0" quotePrefix="0" xfId="0"/>
    <xf numFmtId="0" fontId="19" fillId="0" borderId="1" pivotButton="0" quotePrefix="0" xfId="0"/>
    <xf numFmtId="0" fontId="19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0" fillId="0" borderId="0" pivotButton="0" quotePrefix="0" xfId="0"/>
    <xf numFmtId="0" fontId="15" fillId="0" borderId="0" pivotButton="0" quotePrefix="0" xfId="0"/>
    <xf numFmtId="0" fontId="0" fillId="0" borderId="0" applyAlignment="1" pivotButton="0" quotePrefix="0" xfId="0">
      <alignment vertical="top" wrapText="1"/>
    </xf>
    <xf numFmtId="0" fontId="17" fillId="0" borderId="0" pivotButton="0" quotePrefix="0" xfId="0"/>
    <xf numFmtId="0" fontId="18" fillId="0" borderId="0" pivotButton="0" quotePrefix="0" xfId="0"/>
    <xf numFmtId="0" fontId="21" fillId="0" borderId="1" applyAlignment="1" pivotButton="0" quotePrefix="0" xfId="0">
      <alignment vertical="top" wrapText="1"/>
    </xf>
    <xf numFmtId="0" fontId="20" fillId="0" borderId="1" pivotButton="0" quotePrefix="0" xfId="0"/>
    <xf numFmtId="0" fontId="2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tf-gafi.org/en/publications/High-risk-and-other-monitored-jurisdictions.html" TargetMode="External" Id="rId1"/><Relationship Type="http://schemas.openxmlformats.org/officeDocument/2006/relationships/hyperlink" Target="https://sanctionssearch.ofac.treas.gov/" TargetMode="External" Id="rId2"/><Relationship Type="http://schemas.openxmlformats.org/officeDocument/2006/relationships/hyperlink" Target="https://ofac.treasury.gov/sanctions-programs-and-country-information" TargetMode="External" Id="rId3"/><Relationship Type="http://schemas.openxmlformats.org/officeDocument/2006/relationships/hyperlink" Target="https://www.un.org/securitycouncil/content/un-sc-consolidated-list" TargetMode="External" Id="rId4"/><Relationship Type="http://schemas.openxmlformats.org/officeDocument/2006/relationships/hyperlink" Target="https://webgate.ec.europa.eu/fsd/fsf" TargetMode="External" Id="rId5"/><Relationship Type="http://schemas.openxmlformats.org/officeDocument/2006/relationships/hyperlink" Target="https://index.baselgovernance.org" TargetMode="External" Id="rId6"/><Relationship Type="http://schemas.openxmlformats.org/officeDocument/2006/relationships/hyperlink" Target="https://www.transparency.org/en/cpi" TargetMode="External" Id="rId7"/><Relationship Type="http://schemas.openxmlformats.org/officeDocument/2006/relationships/hyperlink" Target="https://info.worldbank.org/governance/wgi/" TargetMode="External" Id="rId8"/><Relationship Type="http://schemas.openxmlformats.org/officeDocument/2006/relationships/hyperlink" Target="https://worldjusticeproject.org/rule-of-law-index" TargetMode="External" Id="rId9"/><Relationship Type="http://schemas.openxmlformats.org/officeDocument/2006/relationships/hyperlink" Target="https://taxjustice.net/topics/financial-secrecy-index/" TargetMode="External" Id="rId10"/><Relationship Type="http://schemas.openxmlformats.org/officeDocument/2006/relationships/hyperlink" Target="https://www.opensanctions.org" TargetMode="External" Id="rId11"/><Relationship Type="http://schemas.openxmlformats.org/officeDocument/2006/relationships/hyperlink" Target="https://www.controlrisks.com/our-thinking/insights/riskmap" TargetMode="External" Id="rId12"/><Relationship Type="http://schemas.openxmlformats.org/officeDocument/2006/relationships/hyperlink" Target="https://www.dowjones.com/professional/risk/" TargetMode="External" Id="rId13"/><Relationship Type="http://schemas.openxmlformats.org/officeDocument/2006/relationships/hyperlink" Target="https://www.refinitiv.com/en/products/world-check-kyc-screening" TargetMode="External" Id="rId14"/><Relationship Type="http://schemas.openxmlformats.org/officeDocument/2006/relationships/hyperlink" Target="https://www.moodys.com/web/en/us/capabilities/master-data/orbis.html" TargetMode="External" Id="rId15"/><Relationship Type="http://schemas.openxmlformats.org/officeDocument/2006/relationships/hyperlink" Target="https://risk.lexisnexis.com/global/en/products/worldcompliance-online-search-tool" TargetMode="External" Id="rId16"/><Relationship Type="http://schemas.openxmlformats.org/officeDocument/2006/relationships/hyperlink" Target="https://complyadvantage.com" TargetMode="External" Id="rId17"/><Relationship Type="http://schemas.openxmlformats.org/officeDocument/2006/relationships/hyperlink" Target="https://sayari.com" TargetMode="External" Id="rId18"/><Relationship Type="http://schemas.openxmlformats.org/officeDocument/2006/relationships/hyperlink" Target="https://www.dnb.com/products/data/dnb-direct.html" TargetMode="External" Id="rId19"/><Relationship Type="http://schemas.openxmlformats.org/officeDocument/2006/relationships/hyperlink" Target="https://www.gdeltproject.org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11" customWidth="1" min="4" max="4"/>
    <col width="22" customWidth="1" min="5" max="5"/>
    <col width="24" customWidth="1" min="6" max="6"/>
    <col width="26" customWidth="1" min="7" max="7"/>
    <col width="22" customWidth="1" min="8" max="8"/>
    <col width="14" customWidth="1" min="9" max="9"/>
    <col width="14" customWidth="1" min="10" max="10"/>
    <col width="24" customWidth="1" min="11" max="11"/>
    <col width="36" customWidth="1" min="12" max="12"/>
    <col width="46" customWidth="1" min="13" max="13"/>
  </cols>
  <sheetData>
    <row r="1">
      <c r="A1" s="1" t="inlineStr">
        <is>
          <t>AML 数据源完整目录</t>
        </is>
      </c>
    </row>
    <row r="2">
      <c r="A2" s="2" t="inlineStr">
        <is>
          <t>已集成 12 条 + 双轨方案中评估的 8 条商业候选 = 20 条</t>
        </is>
      </c>
    </row>
    <row r="4" ht="36" customHeight="1">
      <c r="A4" s="3" t="inlineStr">
        <is>
          <t>#</t>
        </is>
      </c>
      <c r="B4" s="3" t="inlineStr">
        <is>
          <t>来源名称</t>
        </is>
      </c>
      <c r="C4" s="3" t="inlineStr">
        <is>
          <t>提供方</t>
        </is>
      </c>
      <c r="D4" s="3" t="inlineStr">
        <is>
          <t>类型</t>
        </is>
      </c>
      <c r="E4" s="3" t="inlineStr">
        <is>
          <t>数据格式</t>
        </is>
      </c>
      <c r="F4" s="3" t="inlineStr">
        <is>
          <t>更新频率</t>
        </is>
      </c>
      <c r="G4" s="3" t="inlineStr">
        <is>
          <t>数据总量</t>
        </is>
      </c>
      <c r="H4" s="3" t="inlineStr">
        <is>
          <t>是否有 API</t>
        </is>
      </c>
      <c r="I4" s="3" t="inlineStr">
        <is>
          <t>免费/商业</t>
        </is>
      </c>
      <c r="J4" s="3" t="inlineStr">
        <is>
          <t>是否集成</t>
        </is>
      </c>
      <c r="K4" s="3" t="inlineStr">
        <is>
          <t>主要用途</t>
        </is>
      </c>
      <c r="L4" s="3" t="inlineStr">
        <is>
          <t>URL</t>
        </is>
      </c>
      <c r="M4" s="3" t="inlineStr">
        <is>
          <t>备注</t>
        </is>
      </c>
    </row>
    <row r="5" ht="64" customHeight="1">
      <c r="A5" s="4" t="n">
        <v>1</v>
      </c>
      <c r="B5" s="5" t="inlineStr">
        <is>
          <t>FATF Lists (High-Risk &amp; Monitored Jurisdictions)</t>
        </is>
      </c>
      <c r="C5" s="5" t="inlineStr">
        <is>
          <t>Financial Action Task Force</t>
        </is>
      </c>
      <c r="D5" s="6" t="inlineStr">
        <is>
          <t>List</t>
        </is>
      </c>
      <c r="E5" s="5" t="inlineStr">
        <is>
          <t>HTML + PDF 公开声明</t>
        </is>
      </c>
      <c r="F5" s="5" t="inlineStr">
        <is>
          <t>每年 3 次（2 月 / 6 月 / 10 月）</t>
        </is>
      </c>
      <c r="G5" s="7" t="inlineStr">
        <is>
          <t>约 25 个司法辖区（3 黑 + ~22 灰）</t>
        </is>
      </c>
      <c r="H5" s="8" t="inlineStr">
        <is>
          <t>无（需爬取）</t>
        </is>
      </c>
      <c r="I5" s="9" t="inlineStr">
        <is>
          <t>免费</t>
        </is>
      </c>
      <c r="J5" s="9" t="inlineStr">
        <is>
          <t>已集成</t>
        </is>
      </c>
      <c r="K5" s="5" t="inlineStr">
        <is>
          <t>国家级黑/灰名单</t>
        </is>
      </c>
      <c r="L5" s="10" t="inlineStr">
        <is>
          <t>https://www.fatf-gafi.org/en/publications/High-risk-and-other-monitored-jurisdictions.html</t>
        </is>
      </c>
      <c r="M5" s="5" t="inlineStr">
        <is>
          <t>权威国家级制裁分类</t>
        </is>
      </c>
    </row>
    <row r="6" ht="64" customHeight="1">
      <c r="A6" s="4" t="n">
        <v>2</v>
      </c>
      <c r="B6" s="5" t="inlineStr">
        <is>
          <t>OFAC SDN List</t>
        </is>
      </c>
      <c r="C6" s="5" t="inlineStr">
        <is>
          <t>U.S. Treasury OFAC</t>
        </is>
      </c>
      <c r="D6" s="11" t="inlineStr">
        <is>
          <t>Both</t>
        </is>
      </c>
      <c r="E6" s="5" t="inlineStr">
        <is>
          <t>XML / CSV / PDF + 搜索 API</t>
        </is>
      </c>
      <c r="F6" s="5" t="inlineStr">
        <is>
          <t>每周多次（部分情况每天）</t>
        </is>
      </c>
      <c r="G6" s="7" t="inlineStr">
        <is>
          <t>约 12,000 条（个人 + 实体）</t>
        </is>
      </c>
      <c r="H6" s="9" t="inlineStr">
        <is>
          <t>有（Trade.gov CSL API）</t>
        </is>
      </c>
      <c r="I6" s="9" t="inlineStr">
        <is>
          <t>免费</t>
        </is>
      </c>
      <c r="J6" s="9" t="inlineStr">
        <is>
          <t>已集成</t>
        </is>
      </c>
      <c r="K6" s="5" t="inlineStr">
        <is>
          <t>个人/实体制裁筛查</t>
        </is>
      </c>
      <c r="L6" s="10" t="inlineStr">
        <is>
          <t>https://sanctionssearch.ofac.treas.gov/</t>
        </is>
      </c>
      <c r="M6" s="5" t="inlineStr">
        <is>
          <t>美国主制裁名单；CSL API 整合多个美国名单</t>
        </is>
      </c>
    </row>
    <row r="7" ht="64" customHeight="1">
      <c r="A7" s="4" t="n">
        <v>3</v>
      </c>
      <c r="B7" s="5" t="inlineStr">
        <is>
          <t>OFAC Country Programs</t>
        </is>
      </c>
      <c r="C7" s="5" t="inlineStr">
        <is>
          <t>U.S. Treasury OFAC</t>
        </is>
      </c>
      <c r="D7" s="6" t="inlineStr">
        <is>
          <t>List</t>
        </is>
      </c>
      <c r="E7" s="5" t="inlineStr">
        <is>
          <t>HTML + PDF 网页文档</t>
        </is>
      </c>
      <c r="F7" s="5" t="inlineStr">
        <is>
          <t>不定期（行政令变更触发）</t>
        </is>
      </c>
      <c r="G7" s="7" t="inlineStr">
        <is>
          <t>约 30+ 国家级制裁项目</t>
        </is>
      </c>
      <c r="H7" s="8" t="inlineStr">
        <is>
          <t>无</t>
        </is>
      </c>
      <c r="I7" s="9" t="inlineStr">
        <is>
          <t>免费</t>
        </is>
      </c>
      <c r="J7" s="9" t="inlineStr">
        <is>
          <t>已集成</t>
        </is>
      </c>
      <c r="K7" s="5" t="inlineStr">
        <is>
          <t>国家级制裁项目</t>
        </is>
      </c>
      <c r="L7" s="10" t="inlineStr">
        <is>
          <t>https://ofac.treasury.gov/sanctions-programs-and-country-information</t>
        </is>
      </c>
      <c r="M7" s="5" t="inlineStr">
        <is>
          <t>全面制裁（古巴/伊朗/朝鲜/叙利亚）vs 部门制裁（俄/委/白）</t>
        </is>
      </c>
    </row>
    <row r="8" ht="64" customHeight="1">
      <c r="A8" s="4" t="n">
        <v>4</v>
      </c>
      <c r="B8" s="5" t="inlineStr">
        <is>
          <t>UN Consolidated Sanctions List</t>
        </is>
      </c>
      <c r="C8" s="5" t="inlineStr">
        <is>
          <t>United Nations Security Council</t>
        </is>
      </c>
      <c r="D8" s="6" t="inlineStr">
        <is>
          <t>List</t>
        </is>
      </c>
      <c r="E8" s="5" t="inlineStr">
        <is>
          <t>XML + HTML</t>
        </is>
      </c>
      <c r="F8" s="5" t="inlineStr">
        <is>
          <t>每月（安理会会后可能加更）</t>
        </is>
      </c>
      <c r="G8" s="7" t="inlineStr">
        <is>
          <t>约 1,000 条（个人 + 实体）</t>
        </is>
      </c>
      <c r="H8" s="8" t="inlineStr">
        <is>
          <t>无（仅下载）</t>
        </is>
      </c>
      <c r="I8" s="9" t="inlineStr">
        <is>
          <t>免费</t>
        </is>
      </c>
      <c r="J8" s="9" t="inlineStr">
        <is>
          <t>已集成</t>
        </is>
      </c>
      <c r="K8" s="5" t="inlineStr">
        <is>
          <t>联合国制裁</t>
        </is>
      </c>
      <c r="L8" s="10" t="inlineStr">
        <is>
          <t>https://www.un.org/securitycouncil/content/un-sc-consolidated-list</t>
        </is>
      </c>
      <c r="M8" s="5" t="inlineStr">
        <is>
          <t>UN 宪章第七章下成员国强制执行</t>
        </is>
      </c>
    </row>
    <row r="9" ht="64" customHeight="1">
      <c r="A9" s="4" t="n">
        <v>5</v>
      </c>
      <c r="B9" s="5" t="inlineStr">
        <is>
          <t>EU Consolidated Financial Sanctions List</t>
        </is>
      </c>
      <c r="C9" s="5" t="inlineStr">
        <is>
          <t>European Commission FSD</t>
        </is>
      </c>
      <c r="D9" s="11" t="inlineStr">
        <is>
          <t>Both</t>
        </is>
      </c>
      <c r="E9" s="5" t="inlineStr">
        <is>
          <t>XML</t>
        </is>
      </c>
      <c r="F9" s="5" t="inlineStr">
        <is>
          <t>每月</t>
        </is>
      </c>
      <c r="G9" s="7" t="inlineStr">
        <is>
          <t>约 3,000 条（个人 + 实体）</t>
        </is>
      </c>
      <c r="H9" s="9" t="inlineStr">
        <is>
          <t>有（CIRCABC API）</t>
        </is>
      </c>
      <c r="I9" s="9" t="inlineStr">
        <is>
          <t>免费</t>
        </is>
      </c>
      <c r="J9" s="9" t="inlineStr">
        <is>
          <t>已集成</t>
        </is>
      </c>
      <c r="K9" s="5" t="inlineStr">
        <is>
          <t>欧盟金融制裁筛查</t>
        </is>
      </c>
      <c r="L9" s="10" t="inlineStr">
        <is>
          <t>https://webgate.ec.europa.eu/fsd/fsf</t>
        </is>
      </c>
      <c r="M9" s="5" t="inlineStr">
        <is>
          <t>欧盟 CFSP 金融制裁主要来源</t>
        </is>
      </c>
    </row>
    <row r="10" ht="64" customHeight="1">
      <c r="A10" s="4" t="n">
        <v>6</v>
      </c>
      <c r="B10" s="5" t="inlineStr">
        <is>
          <t>Basel AML Index</t>
        </is>
      </c>
      <c r="C10" s="5" t="inlineStr">
        <is>
          <t>Basel Institute on Governance</t>
        </is>
      </c>
      <c r="D10" s="6" t="inlineStr">
        <is>
          <t>List</t>
        </is>
      </c>
      <c r="E10" s="5" t="inlineStr">
        <is>
          <t>PDF 报告 + Excel</t>
        </is>
      </c>
      <c r="F10" s="5" t="inlineStr">
        <is>
          <t>每年一次</t>
        </is>
      </c>
      <c r="G10" s="7" t="inlineStr">
        <is>
          <t>152 个国家评分</t>
        </is>
      </c>
      <c r="H10" s="6" t="inlineStr">
        <is>
          <t>仅订阅 API</t>
        </is>
      </c>
      <c r="I10" s="9" t="inlineStr">
        <is>
          <t>免费 / 部分付费</t>
        </is>
      </c>
      <c r="J10" s="9" t="inlineStr">
        <is>
          <t>已集成</t>
        </is>
      </c>
      <c r="K10" s="5" t="inlineStr">
        <is>
          <t>国家洗钱/恐融风险指数 (0-10)</t>
        </is>
      </c>
      <c r="L10" s="10" t="inlineStr">
        <is>
          <t>https://index.baselgovernance.org</t>
        </is>
      </c>
      <c r="M10" s="5" t="inlineStr">
        <is>
          <t>17 项指标合成；监管和银行界广泛引用</t>
        </is>
      </c>
    </row>
    <row r="11" ht="64" customHeight="1">
      <c r="A11" s="4" t="n">
        <v>7</v>
      </c>
      <c r="B11" s="5" t="inlineStr">
        <is>
          <t>Transparency International CPI</t>
        </is>
      </c>
      <c r="C11" s="5" t="inlineStr">
        <is>
          <t>Transparency International</t>
        </is>
      </c>
      <c r="D11" s="6" t="inlineStr">
        <is>
          <t>List</t>
        </is>
      </c>
      <c r="E11" s="5" t="inlineStr">
        <is>
          <t>HTML + Excel</t>
        </is>
      </c>
      <c r="F11" s="5" t="inlineStr">
        <is>
          <t>每年一次（1 月）</t>
        </is>
      </c>
      <c r="G11" s="7" t="inlineStr">
        <is>
          <t>180 个国家评分</t>
        </is>
      </c>
      <c r="H11" s="8" t="inlineStr">
        <is>
          <t>无（仅下载）</t>
        </is>
      </c>
      <c r="I11" s="9" t="inlineStr">
        <is>
          <t>免费</t>
        </is>
      </c>
      <c r="J11" s="9" t="inlineStr">
        <is>
          <t>已集成</t>
        </is>
      </c>
      <c r="K11" s="5" t="inlineStr">
        <is>
          <t>国家清廉指数</t>
        </is>
      </c>
      <c r="L11" s="10" t="inlineStr">
        <is>
          <t>https://www.transparency.org/en/cpi</t>
        </is>
      </c>
      <c r="M11" s="5" t="inlineStr">
        <is>
          <t>0=极腐败，100=极清廉。反向映射为风险分</t>
        </is>
      </c>
    </row>
    <row r="12" ht="64" customHeight="1">
      <c r="A12" s="4" t="n">
        <v>8</v>
      </c>
      <c r="B12" s="5" t="inlineStr">
        <is>
          <t>World Bank WGI</t>
        </is>
      </c>
      <c r="C12" s="5" t="inlineStr">
        <is>
          <t>World Bank Group</t>
        </is>
      </c>
      <c r="D12" s="11" t="inlineStr">
        <is>
          <t>Both</t>
        </is>
      </c>
      <c r="E12" s="5" t="inlineStr">
        <is>
          <t>CSV / Excel + API</t>
        </is>
      </c>
      <c r="F12" s="5" t="inlineStr">
        <is>
          <t>每年一次（9 月）</t>
        </is>
      </c>
      <c r="G12" s="7" t="inlineStr">
        <is>
          <t>215 个国家 × 6 个治理维度</t>
        </is>
      </c>
      <c r="H12" s="9" t="inlineStr">
        <is>
          <t>有（World Bank Indicators API）</t>
        </is>
      </c>
      <c r="I12" s="9" t="inlineStr">
        <is>
          <t>免费</t>
        </is>
      </c>
      <c r="J12" s="9" t="inlineStr">
        <is>
          <t>已集成</t>
        </is>
      </c>
      <c r="K12" s="5" t="inlineStr">
        <is>
          <t>国家治理指标</t>
        </is>
      </c>
      <c r="L12" s="10" t="inlineStr">
        <is>
          <t>https://info.worldbank.org/governance/wgi/</t>
        </is>
      </c>
      <c r="M12" s="5" t="inlineStr">
        <is>
          <t>六大维度；本项目使用 Control of Corruption (-2.5..2.5)</t>
        </is>
      </c>
    </row>
    <row r="13" ht="64" customHeight="1">
      <c r="A13" s="4" t="n">
        <v>9</v>
      </c>
      <c r="B13" s="5" t="inlineStr">
        <is>
          <t>WJP Rule of Law Index</t>
        </is>
      </c>
      <c r="C13" s="5" t="inlineStr">
        <is>
          <t>World Justice Project</t>
        </is>
      </c>
      <c r="D13" s="6" t="inlineStr">
        <is>
          <t>List</t>
        </is>
      </c>
      <c r="E13" s="5" t="inlineStr">
        <is>
          <t>PDF + Excel</t>
        </is>
      </c>
      <c r="F13" s="5" t="inlineStr">
        <is>
          <t>每年一次（10 月）</t>
        </is>
      </c>
      <c r="G13" s="7" t="inlineStr">
        <is>
          <t>142 个国家评分</t>
        </is>
      </c>
      <c r="H13" s="8" t="inlineStr">
        <is>
          <t>无公开 API</t>
        </is>
      </c>
      <c r="I13" s="9" t="inlineStr">
        <is>
          <t>免费</t>
        </is>
      </c>
      <c r="J13" s="9" t="inlineStr">
        <is>
          <t>已集成（代理）</t>
        </is>
      </c>
      <c r="K13" s="5" t="inlineStr">
        <is>
          <t>国家法治评分</t>
        </is>
      </c>
      <c r="L13" s="10" t="inlineStr">
        <is>
          <t>https://worldjusticeproject.org/rule-of-law-index</t>
        </is>
      </c>
      <c r="M13" s="5" t="inlineStr">
        <is>
          <t>8 大因子 / 44 子因子。本项目当前用 WGI 代理</t>
        </is>
      </c>
    </row>
    <row r="14" ht="64" customHeight="1">
      <c r="A14" s="4" t="n">
        <v>10</v>
      </c>
      <c r="B14" s="5" t="inlineStr">
        <is>
          <t>Tax Justice Network FSI</t>
        </is>
      </c>
      <c r="C14" s="5" t="inlineStr">
        <is>
          <t>Tax Justice Network</t>
        </is>
      </c>
      <c r="D14" s="6" t="inlineStr">
        <is>
          <t>List</t>
        </is>
      </c>
      <c r="E14" s="5" t="inlineStr">
        <is>
          <t>PDF 报告 + Excel</t>
        </is>
      </c>
      <c r="F14" s="5" t="inlineStr">
        <is>
          <t>每两年一次</t>
        </is>
      </c>
      <c r="G14" s="7" t="inlineStr">
        <is>
          <t>141 个司法辖区评分</t>
        </is>
      </c>
      <c r="H14" s="8" t="inlineStr">
        <is>
          <t>无</t>
        </is>
      </c>
      <c r="I14" s="9" t="inlineStr">
        <is>
          <t>免费</t>
        </is>
      </c>
      <c r="J14" s="9" t="inlineStr">
        <is>
          <t>已集成（代理）</t>
        </is>
      </c>
      <c r="K14" s="5" t="inlineStr">
        <is>
          <t>金融保密度</t>
        </is>
      </c>
      <c r="L14" s="10" t="inlineStr">
        <is>
          <t>https://taxjustice.net/topics/financial-secrecy-index/</t>
        </is>
      </c>
      <c r="M14" s="5" t="inlineStr">
        <is>
          <t>保密枢纽前列：美国、瑞士、新加坡、香港、卢森堡、阿联酋</t>
        </is>
      </c>
    </row>
    <row r="15" ht="64" customHeight="1">
      <c r="A15" s="4" t="n">
        <v>11</v>
      </c>
      <c r="B15" s="5" t="inlineStr">
        <is>
          <t>OpenSanctions</t>
        </is>
      </c>
      <c r="C15" s="5" t="inlineStr">
        <is>
          <t>OpenSanctions e.V.</t>
        </is>
      </c>
      <c r="D15" s="9" t="inlineStr">
        <is>
          <t>API-first</t>
        </is>
      </c>
      <c r="E15" s="5" t="inlineStr">
        <is>
          <t>JSON API + 批量 dump</t>
        </is>
      </c>
      <c r="F15" s="5" t="inlineStr">
        <is>
          <t>每天（免费）/ 每小时（付费）</t>
        </is>
      </c>
      <c r="G15" s="7" t="inlineStr">
        <is>
          <t>约 60 万条聚合记录（PEP ~25 万）</t>
        </is>
      </c>
      <c r="H15" s="9" t="inlineStr">
        <is>
          <t>有（REST + GraphQL）</t>
        </is>
      </c>
      <c r="I15" s="9" t="inlineStr">
        <is>
          <t>免费 / 部分付费</t>
        </is>
      </c>
      <c r="J15" s="9" t="inlineStr">
        <is>
          <t>已集成</t>
        </is>
      </c>
      <c r="K15" s="5" t="inlineStr">
        <is>
          <t>聚合制裁 + PEP</t>
        </is>
      </c>
      <c r="L15" s="10" t="inlineStr">
        <is>
          <t>https://www.opensanctions.org</t>
        </is>
      </c>
      <c r="M15" s="5" t="inlineStr">
        <is>
          <t>开源聚合器，覆盖全球主要监控名单</t>
        </is>
      </c>
    </row>
    <row r="16" ht="64" customHeight="1">
      <c r="A16" s="4" t="n">
        <v>12</v>
      </c>
      <c r="B16" s="5" t="inlineStr">
        <is>
          <t>Control Risks Country Risk</t>
        </is>
      </c>
      <c r="C16" s="5" t="inlineStr">
        <is>
          <t>Control Risks</t>
        </is>
      </c>
      <c r="D16" s="11" t="inlineStr">
        <is>
          <t>Both</t>
        </is>
      </c>
      <c r="E16" s="5" t="inlineStr">
        <is>
          <t>Web 平台 + 报告</t>
        </is>
      </c>
      <c r="F16" s="5" t="inlineStr">
        <is>
          <t>实时 + RiskMap 年度</t>
        </is>
      </c>
      <c r="G16" s="7" t="inlineStr">
        <is>
          <t>约 200 个国家 × 多项风险维度</t>
        </is>
      </c>
      <c r="H16" s="9" t="inlineStr">
        <is>
          <t>有（商业订阅）</t>
        </is>
      </c>
      <c r="I16" s="12" t="inlineStr">
        <is>
          <t>商业</t>
        </is>
      </c>
      <c r="J16" s="9" t="inlineStr">
        <is>
          <t>已集成（引用）</t>
        </is>
      </c>
      <c r="K16" s="5" t="inlineStr">
        <is>
          <t>地缘政治 / 运营风险</t>
        </is>
      </c>
      <c r="L16" s="10" t="inlineStr">
        <is>
          <t>https://www.controlrisks.com/our-thinking/insights/riskmap</t>
        </is>
      </c>
      <c r="M16" s="5" t="inlineStr">
        <is>
          <t>用于中转枢纽和规避因子的逻辑参考</t>
        </is>
      </c>
    </row>
    <row r="17" ht="64" customHeight="1">
      <c r="A17" s="13" t="n">
        <v>13</v>
      </c>
      <c r="B17" s="14" t="inlineStr">
        <is>
          <t>Dow Jones Risk &amp; Compliance / Factiva</t>
        </is>
      </c>
      <c r="C17" s="14" t="inlineStr">
        <is>
          <t>Dow Jones</t>
        </is>
      </c>
      <c r="D17" s="15" t="inlineStr">
        <is>
          <t>API-first</t>
        </is>
      </c>
      <c r="E17" s="14" t="inlineStr">
        <is>
          <t>JSON API</t>
        </is>
      </c>
      <c r="F17" s="14" t="inlineStr">
        <is>
          <t>每天（制裁）/ 24-48h（负面媒体）</t>
        </is>
      </c>
      <c r="G17" s="16" t="inlineStr">
        <is>
          <t>约 500 万条画像（PEP / 制裁 / 负面）</t>
        </is>
      </c>
      <c r="H17" s="15" t="inlineStr">
        <is>
          <t>有（DJ Risk API）</t>
        </is>
      </c>
      <c r="I17" s="17" t="inlineStr">
        <is>
          <t>商业</t>
        </is>
      </c>
      <c r="J17" s="18" t="inlineStr">
        <is>
          <t>未集成</t>
        </is>
      </c>
      <c r="K17" s="14" t="inlineStr">
        <is>
          <t>PEP、负面媒体、监管处罚</t>
        </is>
      </c>
      <c r="L17" s="19" t="inlineStr">
        <is>
          <t>https://www.dowjones.com/professional/risk/</t>
        </is>
      </c>
      <c r="M17" s="14" t="inlineStr">
        <is>
          <t>联想现有供应商；按席位约 10 万-200 万美元/年</t>
        </is>
      </c>
    </row>
    <row r="18" ht="64" customHeight="1">
      <c r="A18" s="13" t="n">
        <v>14</v>
      </c>
      <c r="B18" s="14" t="inlineStr">
        <is>
          <t>Refinitiv (LSEG) World-Check One</t>
        </is>
      </c>
      <c r="C18" s="14" t="inlineStr">
        <is>
          <t>London Stock Exchange Group</t>
        </is>
      </c>
      <c r="D18" s="15" t="inlineStr">
        <is>
          <t>API-first</t>
        </is>
      </c>
      <c r="E18" s="14" t="inlineStr">
        <is>
          <t>JSON API</t>
        </is>
      </c>
      <c r="F18" s="14" t="inlineStr">
        <is>
          <t>一天多次</t>
        </is>
      </c>
      <c r="G18" s="16" t="inlineStr">
        <is>
          <t>约 600+ 万条画像</t>
        </is>
      </c>
      <c r="H18" s="15" t="inlineStr">
        <is>
          <t>有（World-Check One API）</t>
        </is>
      </c>
      <c r="I18" s="17" t="inlineStr">
        <is>
          <t>商业</t>
        </is>
      </c>
      <c r="J18" s="18" t="inlineStr">
        <is>
          <t>未集成</t>
        </is>
      </c>
      <c r="K18" s="14" t="inlineStr">
        <is>
          <t>PEP、制裁、负面媒体</t>
        </is>
      </c>
      <c r="L18" s="19" t="inlineStr">
        <is>
          <t>https://www.refinitiv.com/en/products/world-check-kyc-screening</t>
        </is>
      </c>
      <c r="M18" s="14" t="inlineStr">
        <is>
          <t>最被引用的商业数据集；实体解析强</t>
        </is>
      </c>
    </row>
    <row r="19" ht="64" customHeight="1">
      <c r="A19" s="13" t="n">
        <v>15</v>
      </c>
      <c r="B19" s="14" t="inlineStr">
        <is>
          <t>Moody's Orbis + GRID</t>
        </is>
      </c>
      <c r="C19" s="14" t="inlineStr">
        <is>
          <t>Moody's Analytics</t>
        </is>
      </c>
      <c r="D19" s="20" t="inlineStr">
        <is>
          <t>Both</t>
        </is>
      </c>
      <c r="E19" s="14" t="inlineStr">
        <is>
          <t>JSON API + CSV 导出</t>
        </is>
      </c>
      <c r="F19" s="14" t="inlineStr">
        <is>
          <t>GRID 每天 / Orbis 每月</t>
        </is>
      </c>
      <c r="G19" s="16" t="inlineStr">
        <is>
          <t>Orbis 5 亿+ 公司；GRID 约 1300 万实体</t>
        </is>
      </c>
      <c r="H19" s="15" t="inlineStr">
        <is>
          <t>有（Orbis + GRID API）</t>
        </is>
      </c>
      <c r="I19" s="17" t="inlineStr">
        <is>
          <t>商业</t>
        </is>
      </c>
      <c r="J19" s="18" t="inlineStr">
        <is>
          <t>未集成</t>
        </is>
      </c>
      <c r="K19" s="14" t="inlineStr">
        <is>
          <t>公司数据 + 负面媒体组合</t>
        </is>
      </c>
      <c r="L19" s="19" t="inlineStr">
        <is>
          <t>https://www.moodys.com/web/en/us/capabilities/master-data/orbis.html</t>
        </is>
      </c>
      <c r="M19" s="14" t="inlineStr">
        <is>
          <t>公司层级 / UBO 深挖最强</t>
        </is>
      </c>
    </row>
    <row r="20" ht="64" customHeight="1">
      <c r="A20" s="13" t="n">
        <v>16</v>
      </c>
      <c r="B20" s="14" t="inlineStr">
        <is>
          <t>LexisNexis WorldCompliance + Nexis Diligence</t>
        </is>
      </c>
      <c r="C20" s="14" t="inlineStr">
        <is>
          <t>LexisNexis</t>
        </is>
      </c>
      <c r="D20" s="15" t="inlineStr">
        <is>
          <t>API-first</t>
        </is>
      </c>
      <c r="E20" s="14" t="inlineStr">
        <is>
          <t>JSON API</t>
        </is>
      </c>
      <c r="F20" s="14" t="inlineStr">
        <is>
          <t>每天</t>
        </is>
      </c>
      <c r="G20" s="16" t="inlineStr">
        <is>
          <t>约 300 万条画像 + 法律记录</t>
        </is>
      </c>
      <c r="H20" s="15" t="inlineStr">
        <is>
          <t>有（Nexis API）</t>
        </is>
      </c>
      <c r="I20" s="17" t="inlineStr">
        <is>
          <t>商业</t>
        </is>
      </c>
      <c r="J20" s="18" t="inlineStr">
        <is>
          <t>未集成</t>
        </is>
      </c>
      <c r="K20" s="14" t="inlineStr">
        <is>
          <t>法律 / 诉讼 / 合规</t>
        </is>
      </c>
      <c r="L20" s="19" t="inlineStr">
        <is>
          <t>https://risk.lexisnexis.com/global/en/products/worldcompliance-online-search-tool</t>
        </is>
      </c>
      <c r="M20" s="14" t="inlineStr">
        <is>
          <t>法律记录覆盖最强；实时 PEP 弱于 DJ</t>
        </is>
      </c>
    </row>
    <row r="21" ht="64" customHeight="1">
      <c r="A21" s="13" t="n">
        <v>17</v>
      </c>
      <c r="B21" s="14" t="inlineStr">
        <is>
          <t>ComplyAdvantage</t>
        </is>
      </c>
      <c r="C21" s="14" t="inlineStr">
        <is>
          <t>ComplyAdvantage</t>
        </is>
      </c>
      <c r="D21" s="15" t="inlineStr">
        <is>
          <t>API-first</t>
        </is>
      </c>
      <c r="E21" s="14" t="inlineStr">
        <is>
          <t>现代 REST/GraphQL API</t>
        </is>
      </c>
      <c r="F21" s="14" t="inlineStr">
        <is>
          <t>实时</t>
        </is>
      </c>
      <c r="G21" s="16" t="inlineStr">
        <is>
          <t>约 500 万条聚合数据</t>
        </is>
      </c>
      <c r="H21" s="15" t="inlineStr">
        <is>
          <t>有（AI 驱动 API）</t>
        </is>
      </c>
      <c r="I21" s="17" t="inlineStr">
        <is>
          <t>商业</t>
        </is>
      </c>
      <c r="J21" s="18" t="inlineStr">
        <is>
          <t>未集成</t>
        </is>
      </c>
      <c r="K21" s="14" t="inlineStr">
        <is>
          <t>AI 驱动 AML SaaS</t>
        </is>
      </c>
      <c r="L21" s="19" t="inlineStr">
        <is>
          <t>https://complyadvantage.com</t>
        </is>
      </c>
      <c r="M21" s="14" t="inlineStr">
        <is>
          <t>中型机构友好（约 1.5 万-5 万美元/年）；接入最快</t>
        </is>
      </c>
    </row>
    <row r="22" ht="64" customHeight="1">
      <c r="A22" s="13" t="n">
        <v>18</v>
      </c>
      <c r="B22" s="14" t="inlineStr">
        <is>
          <t>Sayari</t>
        </is>
      </c>
      <c r="C22" s="14" t="inlineStr">
        <is>
          <t>Sayari</t>
        </is>
      </c>
      <c r="D22" s="15" t="inlineStr">
        <is>
          <t>API-first</t>
        </is>
      </c>
      <c r="E22" s="14" t="inlineStr">
        <is>
          <t>图数据 API</t>
        </is>
      </c>
      <c r="F22" s="14" t="inlineStr">
        <is>
          <t>持续更新</t>
        </is>
      </c>
      <c r="G22" s="16" t="inlineStr">
        <is>
          <t>约 40 亿条全球记录（公司 + 关系）</t>
        </is>
      </c>
      <c r="H22" s="15" t="inlineStr">
        <is>
          <t>有（Sayari Graph API）</t>
        </is>
      </c>
      <c r="I22" s="17" t="inlineStr">
        <is>
          <t>商业</t>
        </is>
      </c>
      <c r="J22" s="18" t="inlineStr">
        <is>
          <t>未集成</t>
        </is>
      </c>
      <c r="K22" s="14" t="inlineStr">
        <is>
          <t>网络图谱 / 规避追溯</t>
        </is>
      </c>
      <c r="L22" s="19" t="inlineStr">
        <is>
          <t>https://sayari.com</t>
        </is>
      </c>
      <c r="M22" s="14" t="inlineStr">
        <is>
          <t>制裁规避 / 壳公司追溯一流</t>
        </is>
      </c>
    </row>
    <row r="23" ht="64" customHeight="1">
      <c r="A23" s="13" t="n">
        <v>19</v>
      </c>
      <c r="B23" s="14" t="inlineStr">
        <is>
          <t>Dun &amp; Bradstreet (D&amp;B)</t>
        </is>
      </c>
      <c r="C23" s="14" t="inlineStr">
        <is>
          <t>Dun &amp; Bradstreet</t>
        </is>
      </c>
      <c r="D23" s="15" t="inlineStr">
        <is>
          <t>API-first</t>
        </is>
      </c>
      <c r="E23" s="14" t="inlineStr">
        <is>
          <t>Direct+ JSON API</t>
        </is>
      </c>
      <c r="F23" s="14" t="inlineStr">
        <is>
          <t>每天（信用 / 风险打分）</t>
        </is>
      </c>
      <c r="G23" s="16" t="inlineStr">
        <is>
          <t>5 亿+ 全球企业</t>
        </is>
      </c>
      <c r="H23" s="15" t="inlineStr">
        <is>
          <t>有（D&amp;B Direct+）</t>
        </is>
      </c>
      <c r="I23" s="17" t="inlineStr">
        <is>
          <t>商业</t>
        </is>
      </c>
      <c r="J23" s="18" t="inlineStr">
        <is>
          <t>未集成</t>
        </is>
      </c>
      <c r="K23" s="14" t="inlineStr">
        <is>
          <t>公司信用 + 实体数据</t>
        </is>
      </c>
      <c r="L23" s="19" t="inlineStr">
        <is>
          <t>https://www.dnb.com/products/data/dnb-direct.html</t>
        </is>
      </c>
      <c r="M23" s="14" t="inlineStr">
        <is>
          <t>联想已用于中国 TPDD；CN/ROW 拆分对 API 不便</t>
        </is>
      </c>
    </row>
    <row r="24" ht="64" customHeight="1">
      <c r="A24" s="13" t="n">
        <v>20</v>
      </c>
      <c r="B24" s="14" t="inlineStr">
        <is>
          <t>GDELT</t>
        </is>
      </c>
      <c r="C24" s="14" t="inlineStr">
        <is>
          <t>The GDELT Project</t>
        </is>
      </c>
      <c r="D24" s="15" t="inlineStr">
        <is>
          <t>API-first</t>
        </is>
      </c>
      <c r="E24" s="14" t="inlineStr">
        <is>
          <t>DOC 2.0 API + BigQuery</t>
        </is>
      </c>
      <c r="F24" s="14" t="inlineStr">
        <is>
          <t>每 15 分钟</t>
        </is>
      </c>
      <c r="G24" s="16" t="inlineStr">
        <is>
          <t>25 亿+ 全球事件（自 1979 起）</t>
        </is>
      </c>
      <c r="H24" s="15" t="inlineStr">
        <is>
          <t>有（免费公共 API）</t>
        </is>
      </c>
      <c r="I24" s="15" t="inlineStr">
        <is>
          <t>免费</t>
        </is>
      </c>
      <c r="J24" s="18" t="inlineStr">
        <is>
          <t>未集成</t>
        </is>
      </c>
      <c r="K24" s="14" t="inlineStr">
        <is>
          <t>全球新闻事件监控</t>
        </is>
      </c>
      <c r="L24" s="19" t="inlineStr">
        <is>
          <t>https://www.gdeltproject.org/</t>
        </is>
      </c>
      <c r="M24" s="14" t="inlineStr">
        <is>
          <t>免费的负面媒体替代源；缺乏合规分类标签</t>
        </is>
      </c>
    </row>
  </sheetData>
  <mergeCells count="2">
    <mergeCell ref="A2:M2"/>
    <mergeCell ref="A1:M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90" customWidth="1" min="4" max="4"/>
  </cols>
  <sheetData>
    <row r="1">
      <c r="A1" s="21" t="inlineStr">
        <is>
          <t>按数据源类型分布</t>
        </is>
      </c>
    </row>
    <row r="3">
      <c r="A3" s="3" t="inlineStr">
        <is>
          <t>类型</t>
        </is>
      </c>
      <c r="B3" s="3" t="inlineStr">
        <is>
          <t>数量</t>
        </is>
      </c>
      <c r="C3" s="3" t="inlineStr">
        <is>
          <t>占比</t>
        </is>
      </c>
      <c r="D3" s="3" t="inlineStr">
        <is>
          <t>来源</t>
        </is>
      </c>
    </row>
    <row r="4" ht="80" customHeight="1">
      <c r="A4" s="22" t="inlineStr">
        <is>
          <t>List</t>
        </is>
      </c>
      <c r="B4" s="23" t="n">
        <v>7</v>
      </c>
      <c r="C4" s="24">
        <f>B4/SUM($B$4:$B$6)</f>
        <v/>
      </c>
      <c r="D4" s="25" t="inlineStr">
        <is>
          <t>FATF Lists (High-Risk &amp; Monitored Jurisdictions) · OFAC Country Programs · UN Consolidated Sanctions List · Basel AML Index · Transparency International CPI · WJP Rule of Law Index · Tax Justice Network FSI</t>
        </is>
      </c>
    </row>
    <row r="5" ht="80" customHeight="1">
      <c r="A5" s="26" t="inlineStr">
        <is>
          <t>API-first</t>
        </is>
      </c>
      <c r="B5" s="23" t="n">
        <v>8</v>
      </c>
      <c r="C5" s="24">
        <f>B5/SUM($B$4:$B$6)</f>
        <v/>
      </c>
      <c r="D5" s="25" t="inlineStr">
        <is>
          <t>OpenSanctions · Dow Jones Risk &amp; Compliance / Factiva · Refinitiv (LSEG) World-Check One · LexisNexis WorldCompliance + Nexis Diligence · ComplyAdvantage · Sayari · Dun &amp; Bradstreet (D&amp;B) · GDELT</t>
        </is>
      </c>
    </row>
    <row r="6" ht="80" customHeight="1">
      <c r="A6" s="27" t="inlineStr">
        <is>
          <t>Both</t>
        </is>
      </c>
      <c r="B6" s="23" t="n">
        <v>5</v>
      </c>
      <c r="C6" s="24">
        <f>B6/SUM($B$4:$B$6)</f>
        <v/>
      </c>
      <c r="D6" s="25" t="inlineStr">
        <is>
          <t>OFAC SDN List · EU Consolidated Financial Sanctions List · World Bank WGI · Control Risks Country Risk · Moody's Orbis + GRID</t>
        </is>
      </c>
    </row>
    <row r="7">
      <c r="A7" s="28" t="inlineStr">
        <is>
          <t>合计</t>
        </is>
      </c>
      <c r="B7" s="29">
        <f>SUM(B4:B6)</f>
        <v/>
      </c>
      <c r="C7" s="30">
        <f>SUM(C4:C6)</f>
        <v/>
      </c>
      <c r="D7" s="31" t="n"/>
    </row>
    <row r="10">
      <c r="A10" s="32" t="inlineStr">
        <is>
          <t>类型说明</t>
        </is>
      </c>
    </row>
    <row r="11">
      <c r="A11" s="33" t="inlineStr">
        <is>
          <t>List</t>
        </is>
      </c>
      <c r="B11" s="34" t="inlineStr">
        <is>
          <t>静态发布物，需手动下载（CSV/XML/PDF/Excel）。刷新 = 重新下载。</t>
        </is>
      </c>
    </row>
    <row r="12">
      <c r="A12" s="35" t="inlineStr">
        <is>
          <t>API-first</t>
        </is>
      </c>
      <c r="B12" s="34" t="inlineStr">
        <is>
          <t>主要通过 HTTP API 查询。最适合自动化集成。</t>
        </is>
      </c>
    </row>
    <row r="13">
      <c r="A13" s="36" t="inlineStr">
        <is>
          <t>Both</t>
        </is>
      </c>
      <c r="B13" s="34" t="inlineStr">
        <is>
          <t>既提供 List 下载，又提供可查询的 API。</t>
        </is>
      </c>
    </row>
  </sheetData>
  <mergeCells count="4">
    <mergeCell ref="B12:D12"/>
    <mergeCell ref="B11:D11"/>
    <mergeCell ref="B13:D13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0" customWidth="1" min="4" max="4"/>
    <col width="60" customWidth="1" min="5" max="5"/>
  </cols>
  <sheetData>
    <row r="1">
      <c r="A1" s="21" t="inlineStr">
        <is>
          <t>按更新频率分布</t>
        </is>
      </c>
    </row>
    <row r="3">
      <c r="A3" s="3" t="inlineStr">
        <is>
          <t>更新频率</t>
        </is>
      </c>
      <c r="B3" s="3" t="inlineStr">
        <is>
          <t>数量</t>
        </is>
      </c>
      <c r="C3" s="3" t="inlineStr">
        <is>
          <t>占比</t>
        </is>
      </c>
      <c r="D3" s="3" t="inlineStr">
        <is>
          <t>来源</t>
        </is>
      </c>
      <c r="E3" s="3" t="inlineStr">
        <is>
          <t>运营含义</t>
        </is>
      </c>
    </row>
    <row r="4" ht="64" customHeight="1">
      <c r="A4" s="28" t="inlineStr">
        <is>
          <t>实时 / 每 15 分钟</t>
        </is>
      </c>
      <c r="B4" s="23" t="n">
        <v>3</v>
      </c>
      <c r="C4" s="24">
        <f>B4/SUM($B$4:$B$8)</f>
        <v/>
      </c>
      <c r="D4" s="25" t="inlineStr">
        <is>
          <t>OpenSanctions · ComplyAdvantage · GDELT</t>
        </is>
      </c>
      <c r="E4" s="37" t="inlineStr">
        <is>
          <t>可用于交易实时拦截。必须 API 集成。</t>
        </is>
      </c>
    </row>
    <row r="5" ht="64" customHeight="1">
      <c r="A5" s="28" t="inlineStr">
        <is>
          <t>每天</t>
        </is>
      </c>
      <c r="B5" s="23" t="n">
        <v>6</v>
      </c>
      <c r="C5" s="24">
        <f>B5/SUM($B$4:$B$8)</f>
        <v/>
      </c>
      <c r="D5" s="25" t="inlineStr">
        <is>
          <t>OFAC SDN List · Dow Jones Risk &amp; Compliance / Factiva · Refinitiv (LSEG) World-Check One · LexisNexis WorldCompliance + Nexis Diligence · Dun &amp; Bradstreet (D&amp;B) · Moody's Orbis + GRID</t>
        </is>
      </c>
      <c r="E5" s="37" t="inlineStr">
        <is>
          <t>对新客户次日批量筛查足够。</t>
        </is>
      </c>
    </row>
    <row r="6" ht="64" customHeight="1">
      <c r="A6" s="28" t="inlineStr">
        <is>
          <t>每月</t>
        </is>
      </c>
      <c r="B6" s="23" t="n">
        <v>3</v>
      </c>
      <c r="C6" s="24">
        <f>B6/SUM($B$4:$B$8)</f>
        <v/>
      </c>
      <c r="D6" s="25" t="inlineStr">
        <is>
          <t>UN Consolidated Sanctions List · EU Consolidated Financial Sanctions List · Moody's Orbis + GRID</t>
        </is>
      </c>
      <c r="E6" s="37" t="inlineStr">
        <is>
          <t>可用于定期重筛；可能漏掉月内新增。</t>
        </is>
      </c>
    </row>
    <row r="7" ht="64" customHeight="1">
      <c r="A7" s="28" t="inlineStr">
        <is>
          <t>每年 / 每两年</t>
        </is>
      </c>
      <c r="B7" s="23" t="n">
        <v>6</v>
      </c>
      <c r="C7" s="24">
        <f>B7/SUM($B$4:$B$8)</f>
        <v/>
      </c>
      <c r="D7" s="25" t="inlineStr">
        <is>
          <t>FATF Lists（每年 3 次） · Basel AML Index · Transparency International CPI · World Bank WGI · WJP Rule of Law Index · Tax Justice Network FSI</t>
        </is>
      </c>
      <c r="E7" s="37" t="inlineStr">
        <is>
          <t>国家级指数 — 发布时刷新 + 季度抽查就足够。</t>
        </is>
      </c>
    </row>
    <row r="8" ht="64" customHeight="1">
      <c r="A8" s="28" t="inlineStr">
        <is>
          <t>不定期</t>
        </is>
      </c>
      <c r="B8" s="23" t="n">
        <v>1</v>
      </c>
      <c r="C8" s="24">
        <f>B8/SUM($B$4:$B$8)</f>
        <v/>
      </c>
      <c r="D8" s="25" t="inlineStr">
        <is>
          <t>OFAC Country Programs</t>
        </is>
      </c>
      <c r="E8" s="37" t="inlineStr">
        <is>
          <t>由行政令驱动。订阅 OFAC 公告订阅。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  <col width="50" customWidth="1" min="4" max="4"/>
  </cols>
  <sheetData>
    <row r="1">
      <c r="A1" s="21" t="inlineStr">
        <is>
          <t>按集成难度分类</t>
        </is>
      </c>
    </row>
    <row r="3">
      <c r="A3" s="3" t="inlineStr">
        <is>
          <t>难度</t>
        </is>
      </c>
      <c r="B3" s="3" t="inlineStr">
        <is>
          <t>工作量</t>
        </is>
      </c>
      <c r="C3" s="3" t="inlineStr">
        <is>
          <t>来源</t>
        </is>
      </c>
      <c r="D3" s="3" t="inlineStr">
        <is>
          <t>集成方式</t>
        </is>
      </c>
    </row>
    <row r="4" ht="80" customHeight="1">
      <c r="A4" s="38" t="inlineStr">
        <is>
          <t>🟢 容易</t>
        </is>
      </c>
      <c r="B4" s="39" t="inlineStr">
        <is>
          <t>数小时即可</t>
        </is>
      </c>
      <c r="C4" s="25" t="inlineStr">
        <is>
          <t>OpenSanctions · GDELT · World Bank WGI · OFAC SDN List（通过 Trade.gov CSL API） · Dow Jones Risk &amp; Compliance · Refinitiv World-Check One · LexisNexis WorldCompliance · ComplyAdvantage · Sayari · Dun &amp; Bradstreet · Moody's Orbis + GRID</t>
        </is>
      </c>
      <c r="D4" s="40" t="inlineStr">
        <is>
          <t>直接 API 调用。JSON 进 JSON 出。加缓存层 + 重试即可。</t>
        </is>
      </c>
    </row>
    <row r="5" ht="80" customHeight="1">
      <c r="A5" s="38" t="inlineStr">
        <is>
          <t>🟡 中等</t>
        </is>
      </c>
      <c r="B5" s="39" t="inlineStr">
        <is>
          <t>数天</t>
        </is>
      </c>
      <c r="C5" s="25" t="inlineStr">
        <is>
          <t>UN Consolidated · EU Consolidated · Transparency International CPI · WJP Rule of Law Index · Tax Justice Network FSI</t>
        </is>
      </c>
      <c r="D5" s="40" t="inlineStr">
        <is>
          <t>下载结构化文件（XML/Excel）+ 解析 + 写入本地 JSON。</t>
        </is>
      </c>
    </row>
    <row r="6" ht="80" customHeight="1">
      <c r="A6" s="38" t="inlineStr">
        <is>
          <t>🔴 手动</t>
        </is>
      </c>
      <c r="B6" s="39" t="inlineStr">
        <is>
          <t>数周（或接受手动更新）</t>
        </is>
      </c>
      <c r="C6" s="25" t="inlineStr">
        <is>
          <t>FATF Lists · OFAC Country Programs · Basel AML Index</t>
        </is>
      </c>
      <c r="D6" s="40" t="inlineStr">
        <is>
          <t>PDF / HTML 解析或人工录入。这些源更新频率低，季度刷新通常足够。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55" customWidth="1" min="3" max="3"/>
  </cols>
  <sheetData>
    <row r="1">
      <c r="A1" s="21" t="inlineStr">
        <is>
          <t>给 ECO 的实务建议</t>
        </is>
      </c>
    </row>
    <row r="3">
      <c r="A3" s="3" t="inlineStr">
        <is>
          <t>需求</t>
        </is>
      </c>
      <c r="B3" s="3" t="inlineStr">
        <is>
          <t>可用来源</t>
        </is>
      </c>
      <c r="C3" s="3" t="inlineStr">
        <is>
          <t>建议</t>
        </is>
      </c>
    </row>
    <row r="4" ht="80" customHeight="1">
      <c r="A4" s="41" t="inlineStr">
        <is>
          <t>制裁筛查（OFAC / UN / EU）</t>
        </is>
      </c>
      <c r="B4" s="40" t="inlineStr">
        <is>
          <t>三个都既有 List 又有 API。建议直接用 Trade.gov 综合筛查名单 API 把 OFAC + 其他美国名单聚合成一次调用。</t>
        </is>
      </c>
      <c r="C4" s="37" t="inlineStr">
        <is>
          <t>公开覆盖与 DJ 同等 — 此场景商业版无优势。</t>
        </is>
      </c>
    </row>
    <row r="5" ht="80" customHeight="1">
      <c r="A5" s="41" t="inlineStr">
        <is>
          <t>国家级指数（Basel / CPI / WGI / WJP / FSI）</t>
        </is>
      </c>
      <c r="B5" s="40" t="inlineStr">
        <is>
          <t>每年/每两年更新。每年发布时重新下载源文件并更新 data/countries.json 即可。</t>
        </is>
      </c>
      <c r="C5" s="37" t="inlineStr">
        <is>
          <t>List 模式足够，无需 API。当前 dashboard 就在 data/countries.json 中。</t>
        </is>
      </c>
    </row>
    <row r="6" ht="80" customHeight="1">
      <c r="A6" s="41" t="inlineStr">
        <is>
          <t>负面媒体（公开源最大短板）</t>
        </is>
      </c>
      <c r="B6" s="40" t="inlineStr">
        <is>
          <t>免费版：GDELT（每 15 分钟，无合规分类标签）；商业版：DJ / Refinitiv / LexisNexis / ComplyAdvantage 都有分析师打标的合规分类。</t>
        </is>
      </c>
      <c r="C6" s="37" t="inlineStr">
        <is>
          <t>DJ 订阅最值钱的地方。双轨方案保留 DJ 的最强理由。</t>
        </is>
      </c>
    </row>
    <row r="7" ht="80" customHeight="1">
      <c r="A7" s="41" t="inlineStr">
        <is>
          <t>PEP 覆盖</t>
        </is>
      </c>
      <c r="B7" s="40" t="inlineStr">
        <is>
          <t>公开版：OpenSanctions（约 25 万 PEP，周更）；商业版：DJ / Refinitiv（约 300 万 PEP，日更，含地市级官员）。</t>
        </is>
      </c>
      <c r="C7" s="37" t="inlineStr">
        <is>
          <t>新兴市场辖区差距明显；G7 国家差距小。</t>
        </is>
      </c>
    </row>
    <row r="8" ht="80" customHeight="1">
      <c r="A8" s="41" t="inlineStr">
        <is>
          <t>受益所有权（UBO）数据</t>
        </is>
      </c>
      <c r="B8" s="40" t="inlineStr">
        <is>
          <t>公开版：欧盟/英国之外覆盖薄弱；商业版：Sayari / Moody's Orbis / D&amp;B 覆盖明显更深。</t>
        </is>
      </c>
      <c r="C8" s="37" t="inlineStr">
        <is>
          <t>如果纳入规避追溯需求，Sayari 是最强候选。</t>
        </is>
      </c>
    </row>
    <row r="9" ht="80" customHeight="1">
      <c r="A9" s="41" t="inlineStr">
        <is>
          <t>实体消歧</t>
        </is>
      </c>
      <c r="B9" s="40" t="inlineStr">
        <is>
          <t>商业供应商已预解析到 LEI / 唯一 ID；公开源需自建名称匹配管道。</t>
        </is>
      </c>
      <c r="C9" s="37" t="inlineStr">
        <is>
          <t>保留至少一家商业供应商的运营效率论据。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2026-05-08T12:10:35Z</dcterms:created>
  <dcterms:modified xmlns:dcterms="http://purl.org/dc/terms/" xmlns:xsi="http://www.w3.org/2001/XMLSchema-instance" xsi:type="dcterms:W3CDTF">2026-05-08T12:10:35Z</dcterms:modified>
</cp:coreProperties>
</file>