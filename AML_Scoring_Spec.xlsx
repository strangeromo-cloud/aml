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体系总览" sheetId="1" state="visible" r:id="rId1"/>
    <sheet name="18 因子完整目录" sheetId="2" state="visible" r:id="rId2"/>
    <sheet name="数据源目录" sheetId="3" state="visible" r:id="rId3"/>
    <sheet name="硬编码国家集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b val="1"/>
      <sz val="12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0b981"/>
    </font>
    <font>
      <name val="Arial"/>
      <b val="1"/>
      <color rgb="00f59e0b"/>
    </font>
    <font>
      <name val="Arial"/>
      <b val="1"/>
      <color rgb="00f97316"/>
    </font>
    <font>
      <name val="Arial"/>
      <b val="1"/>
      <color rgb="00ef4444"/>
    </font>
    <font>
      <name val="Arial"/>
      <b val="1"/>
      <sz val="14"/>
    </font>
    <font>
      <name val="Arial"/>
      <color theme="1"/>
      <sz val="10"/>
    </font>
    <font>
      <name val="Arial"/>
      <b val="1"/>
      <color rgb="00000000"/>
      <sz val="10"/>
    </font>
    <font>
      <name val="Arial"/>
      <i val="1"/>
      <sz val="10"/>
    </font>
    <font>
      <name val="Arial"/>
      <sz val="10"/>
    </font>
    <font>
      <name val="Arial"/>
      <b val="1"/>
      <sz val="10"/>
    </font>
    <font>
      <name val="Courier New"/>
      <sz val="10"/>
    </font>
    <font>
      <name val="Arial"/>
      <color rgb="000563C1"/>
      <sz val="10"/>
      <u val="single"/>
    </font>
    <font>
      <name val="Arial"/>
      <b val="1"/>
      <sz val="13"/>
    </font>
    <font>
      <name val="Courier New"/>
      <b val="1"/>
      <sz val="10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FEF3C7"/>
      </patternFill>
    </fill>
    <fill>
      <patternFill patternType="solid">
        <fgColor rgb="00DDD6FE"/>
      </patternFill>
    </fill>
    <fill>
      <patternFill patternType="solid">
        <fgColor rgb="00BAE6FD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pivotButton="0" quotePrefix="0" xfId="0"/>
    <xf numFmtId="164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pivotButton="0" quotePrefix="0" xfId="0"/>
    <xf numFmtId="164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pivotButton="0" quotePrefix="0" xfId="0"/>
    <xf numFmtId="164" fontId="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3" fillId="7" borderId="1" pivotButton="0" quotePrefix="0" xfId="0"/>
    <xf numFmtId="164" fontId="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3" fillId="8" borderId="1" pivotButton="0" quotePrefix="0" xfId="0"/>
    <xf numFmtId="164" fontId="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5" fillId="0" borderId="0" pivotButton="0" quotePrefix="0" xfId="0"/>
    <xf numFmtId="164" fontId="5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3" borderId="1" pivotButton="0" quotePrefix="0" xfId="0"/>
    <xf numFmtId="164" fontId="11" fillId="3" borderId="1" applyAlignment="1" pivotButton="0" quotePrefix="0" xfId="0">
      <alignment horizontal="center" vertical="center" wrapText="1"/>
    </xf>
    <xf numFmtId="0" fontId="11" fillId="3" borderId="1" pivotButton="0" quotePrefix="0" xfId="0"/>
    <xf numFmtId="0" fontId="11" fillId="3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pivotButton="0" quotePrefix="0" xfId="0"/>
    <xf numFmtId="164" fontId="11" fillId="4" borderId="1" applyAlignment="1" pivotButton="0" quotePrefix="0" xfId="0">
      <alignment horizontal="center" vertical="center" wrapText="1"/>
    </xf>
    <xf numFmtId="0" fontId="11" fillId="4" borderId="1" pivotButton="0" quotePrefix="0" xfId="0"/>
    <xf numFmtId="0" fontId="11" fillId="4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pivotButton="0" quotePrefix="0" xfId="0"/>
    <xf numFmtId="164" fontId="11" fillId="5" borderId="1" applyAlignment="1" pivotButton="0" quotePrefix="0" xfId="0">
      <alignment horizontal="center" vertical="center" wrapText="1"/>
    </xf>
    <xf numFmtId="0" fontId="11" fillId="5" borderId="1" pivotButton="0" quotePrefix="0" xfId="0"/>
    <xf numFmtId="0" fontId="11" fillId="5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 wrapText="1"/>
    </xf>
    <xf numFmtId="0" fontId="12" fillId="6" borderId="1" pivotButton="0" quotePrefix="0" xfId="0"/>
    <xf numFmtId="164" fontId="11" fillId="6" borderId="1" applyAlignment="1" pivotButton="0" quotePrefix="0" xfId="0">
      <alignment horizontal="center" vertical="center" wrapText="1"/>
    </xf>
    <xf numFmtId="0" fontId="11" fillId="6" borderId="1" pivotButton="0" quotePrefix="0" xfId="0"/>
    <xf numFmtId="0" fontId="11" fillId="6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pivotButton="0" quotePrefix="0" xfId="0"/>
    <xf numFmtId="164" fontId="11" fillId="7" borderId="1" applyAlignment="1" pivotButton="0" quotePrefix="0" xfId="0">
      <alignment horizontal="center" vertical="center" wrapText="1"/>
    </xf>
    <xf numFmtId="0" fontId="11" fillId="7" borderId="1" pivotButton="0" quotePrefix="0" xfId="0"/>
    <xf numFmtId="0" fontId="11" fillId="7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pivotButton="0" quotePrefix="0" xfId="0"/>
    <xf numFmtId="164" fontId="11" fillId="8" borderId="1" applyAlignment="1" pivotButton="0" quotePrefix="0" xfId="0">
      <alignment horizontal="center" vertical="center" wrapText="1"/>
    </xf>
    <xf numFmtId="0" fontId="11" fillId="8" borderId="1" pivotButton="0" quotePrefix="0" xfId="0"/>
    <xf numFmtId="0" fontId="11" fillId="8" borderId="1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164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0" borderId="0" pivotButton="0" quotePrefix="0" xfId="0"/>
    <xf numFmtId="0" fontId="19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atf-gafi.org/en/publications/High-risk-and-other-monitored-jurisdictions.html" TargetMode="External" Id="rId1" /><Relationship Type="http://schemas.openxmlformats.org/officeDocument/2006/relationships/hyperlink" Target="https://sanctionssearch.ofac.treas.gov/" TargetMode="External" Id="rId2" /><Relationship Type="http://schemas.openxmlformats.org/officeDocument/2006/relationships/hyperlink" Target="https://ofac.treasury.gov/sanctions-programs-and-country-information" TargetMode="External" Id="rId3" /><Relationship Type="http://schemas.openxmlformats.org/officeDocument/2006/relationships/hyperlink" Target="https://www.un.org/securitycouncil/content/un-sc-consolidated-list" TargetMode="External" Id="rId4" /><Relationship Type="http://schemas.openxmlformats.org/officeDocument/2006/relationships/hyperlink" Target="https://webgate.ec.europa.eu/fsd/fsf" TargetMode="External" Id="rId5" /><Relationship Type="http://schemas.openxmlformats.org/officeDocument/2006/relationships/hyperlink" Target="https://index.baselgovernance.org" TargetMode="External" Id="rId6" /><Relationship Type="http://schemas.openxmlformats.org/officeDocument/2006/relationships/hyperlink" Target="https://www.transparency.org/en/cpi" TargetMode="External" Id="rId7" /><Relationship Type="http://schemas.openxmlformats.org/officeDocument/2006/relationships/hyperlink" Target="https://info.worldbank.org/governance/wgi/" TargetMode="External" Id="rId8" /><Relationship Type="http://schemas.openxmlformats.org/officeDocument/2006/relationships/hyperlink" Target="https://worldjusticeproject.org/rule-of-law-index" TargetMode="External" Id="rId9" /><Relationship Type="http://schemas.openxmlformats.org/officeDocument/2006/relationships/hyperlink" Target="https://taxjustice.net/topics/financial-secrecy-index/" TargetMode="External" Id="rId10" /><Relationship Type="http://schemas.openxmlformats.org/officeDocument/2006/relationships/hyperlink" Target="https://www.opensanctions.org" TargetMode="External" Id="rId11" /><Relationship Type="http://schemas.openxmlformats.org/officeDocument/2006/relationships/hyperlink" Target="https://www.controlrisks.com/our-thinking/insights/riskmap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14" customWidth="1" min="4" max="4"/>
    <col width="60" customWidth="1" min="5" max="5"/>
    <col width="12" customWidth="1" min="6" max="6"/>
  </cols>
  <sheetData>
    <row r="1" ht="26" customHeight="1">
      <c r="A1" s="1" t="inlineStr">
        <is>
          <t>Lenovo AML Risk Watch — 评分体系完整说明</t>
        </is>
      </c>
    </row>
    <row r="3">
      <c r="A3" s="2" t="inlineStr">
        <is>
          <t>总分公式</t>
        </is>
      </c>
    </row>
    <row r="4">
      <c r="A4" s="3" t="inlineStr">
        <is>
          <t>总分 = Σ (维度得分 × 维度权重) / Σ 权重，结果在 0–100 区间</t>
        </is>
      </c>
    </row>
    <row r="6">
      <c r="A6" s="2" t="inlineStr">
        <is>
          <t>维度权重分配</t>
        </is>
      </c>
    </row>
    <row r="7">
      <c r="A7" s="4" t="inlineStr">
        <is>
          <t>#</t>
        </is>
      </c>
      <c r="B7" s="4" t="inlineStr">
        <is>
          <t>维度（英文）</t>
        </is>
      </c>
      <c r="C7" s="4" t="inlineStr">
        <is>
          <t>维度（中文）</t>
        </is>
      </c>
      <c r="D7" s="4" t="inlineStr">
        <is>
          <t>权重</t>
        </is>
      </c>
      <c r="E7" s="4" t="inlineStr">
        <is>
          <t>回答的核心问题</t>
        </is>
      </c>
    </row>
    <row r="8">
      <c r="A8" s="5" t="n">
        <v>1</v>
      </c>
      <c r="B8" s="6" t="inlineStr">
        <is>
          <t>Sanctions Screening</t>
        </is>
      </c>
      <c r="C8" s="6" t="inlineStr">
        <is>
          <t>制裁名单筛查</t>
        </is>
      </c>
      <c r="D8" s="7" t="n">
        <v>0.25</v>
      </c>
      <c r="E8" s="8" t="inlineStr">
        <is>
          <t>查实体/UBO 是否直接命中各国权威制裁名单</t>
        </is>
      </c>
    </row>
    <row r="9">
      <c r="A9" s="9" t="n">
        <v>2</v>
      </c>
      <c r="B9" s="10" t="inlineStr">
        <is>
          <t>Country Risk Scoring</t>
        </is>
      </c>
      <c r="C9" s="10" t="inlineStr">
        <is>
          <t>国家风险评分</t>
        </is>
      </c>
      <c r="D9" s="11" t="n">
        <v>0.2</v>
      </c>
      <c r="E9" s="12" t="inlineStr">
        <is>
          <t>仅凭总部所在国推断风险水平</t>
        </is>
      </c>
    </row>
    <row r="10">
      <c r="A10" s="13" t="n">
        <v>3</v>
      </c>
      <c r="B10" s="14" t="inlineStr">
        <is>
          <t>High-Risk Jurisdiction Monitoring</t>
        </is>
      </c>
      <c r="C10" s="14" t="inlineStr">
        <is>
          <t>高风险司法辖区监控</t>
        </is>
      </c>
      <c r="D10" s="15" t="n">
        <v>0.15</v>
      </c>
      <c r="E10" s="16" t="inlineStr">
        <is>
          <t>动态监控公司业务足迹触碰多少高风险辖区</t>
        </is>
      </c>
    </row>
    <row r="11">
      <c r="A11" s="17" t="n">
        <v>4</v>
      </c>
      <c r="B11" s="18" t="inlineStr">
        <is>
          <t>Sanctions Circumvention Risk</t>
        </is>
      </c>
      <c r="C11" s="18" t="inlineStr">
        <is>
          <t>制裁规避风险</t>
        </is>
      </c>
      <c r="D11" s="19" t="n">
        <v>0.15</v>
      </c>
      <c r="E11" s="20" t="inlineStr">
        <is>
          <t>识别绕开制裁的金融或物流路径</t>
        </is>
      </c>
    </row>
    <row r="12">
      <c r="A12" s="21" t="n">
        <v>5</v>
      </c>
      <c r="B12" s="22" t="inlineStr">
        <is>
          <t>PEP &amp; Adverse Media</t>
        </is>
      </c>
      <c r="C12" s="22" t="inlineStr">
        <is>
          <t>PEP 与负面媒体</t>
        </is>
      </c>
      <c r="D12" s="23" t="n">
        <v>0.15</v>
      </c>
      <c r="E12" s="24" t="inlineStr">
        <is>
          <t>受益人政治背景、负面新闻、监管处罚历史</t>
        </is>
      </c>
    </row>
    <row r="13">
      <c r="A13" s="25" t="n">
        <v>6</v>
      </c>
      <c r="B13" s="26" t="inlineStr">
        <is>
          <t>Country Context Enrichment</t>
        </is>
      </c>
      <c r="C13" s="26" t="inlineStr">
        <is>
          <t>国家背景增强</t>
        </is>
      </c>
      <c r="D13" s="27" t="n">
        <v>0.1</v>
      </c>
      <c r="E13" s="28" t="inlineStr">
        <is>
          <t>治理、法治、金融透明度的国家背景</t>
        </is>
      </c>
    </row>
    <row r="14">
      <c r="C14" s="29" t="inlineStr">
        <is>
          <t>合计</t>
        </is>
      </c>
      <c r="D14" s="30">
        <f>SUM(D8:D13)</f>
        <v/>
      </c>
    </row>
    <row r="16">
      <c r="A16" s="2" t="inlineStr">
        <is>
          <t>风险等级阈值</t>
        </is>
      </c>
    </row>
    <row r="17">
      <c r="A17" s="4" t="inlineStr">
        <is>
          <t>等级（英）</t>
        </is>
      </c>
      <c r="B17" s="4" t="inlineStr">
        <is>
          <t>等级（中）</t>
        </is>
      </c>
      <c r="C17" s="4" t="inlineStr">
        <is>
          <t>分数区间</t>
        </is>
      </c>
      <c r="D17" s="4" t="inlineStr">
        <is>
          <t>颜色</t>
        </is>
      </c>
      <c r="E17" s="4" t="inlineStr">
        <is>
          <t>对应行动</t>
        </is>
      </c>
    </row>
    <row r="18">
      <c r="A18" s="31" t="inlineStr">
        <is>
          <t>Low</t>
        </is>
      </c>
      <c r="B18" s="31" t="inlineStr">
        <is>
          <t>低</t>
        </is>
      </c>
      <c r="C18" s="32" t="inlineStr">
        <is>
          <t>0 – 24</t>
        </is>
      </c>
      <c r="D18" s="33" t="inlineStr">
        <is>
          <t>#10B981</t>
        </is>
      </c>
      <c r="E18" s="34" t="inlineStr">
        <is>
          <t>无需特别关注，常规尽职调查</t>
        </is>
      </c>
    </row>
    <row r="19">
      <c r="A19" s="35" t="inlineStr">
        <is>
          <t>Medium</t>
        </is>
      </c>
      <c r="B19" s="35" t="inlineStr">
        <is>
          <t>中</t>
        </is>
      </c>
      <c r="C19" s="32" t="inlineStr">
        <is>
          <t>25 – 49</t>
        </is>
      </c>
      <c r="D19" s="36" t="inlineStr">
        <is>
          <t>#F59E0B</t>
        </is>
      </c>
      <c r="E19" s="34" t="inlineStr">
        <is>
          <t>标准 CDD（客户尽职调查）</t>
        </is>
      </c>
    </row>
    <row r="20">
      <c r="A20" s="37" t="inlineStr">
        <is>
          <t>High</t>
        </is>
      </c>
      <c r="B20" s="37" t="inlineStr">
        <is>
          <t>高</t>
        </is>
      </c>
      <c r="C20" s="32" t="inlineStr">
        <is>
          <t>50 – 69</t>
        </is>
      </c>
      <c r="D20" s="38" t="inlineStr">
        <is>
          <t>#F97316</t>
        </is>
      </c>
      <c r="E20" s="34" t="inlineStr">
        <is>
          <t>升级至 EDD（加强尽职调查），合规人工复核</t>
        </is>
      </c>
    </row>
    <row r="21">
      <c r="A21" s="39" t="inlineStr">
        <is>
          <t>Critical</t>
        </is>
      </c>
      <c r="B21" s="39" t="inlineStr">
        <is>
          <t>极高</t>
        </is>
      </c>
      <c r="C21" s="32" t="inlineStr">
        <is>
          <t>70 – 100</t>
        </is>
      </c>
      <c r="D21" s="40" t="inlineStr">
        <is>
          <t>#EF4444</t>
        </is>
      </c>
      <c r="E21" s="34" t="inlineStr">
        <is>
          <t>拒绝准入或立即上报；触发 SAR 评估</t>
        </is>
      </c>
    </row>
    <row r="23">
      <c r="A23" s="2" t="inlineStr">
        <is>
          <t>数据真实度分层</t>
        </is>
      </c>
    </row>
    <row r="24">
      <c r="A24" s="4" t="inlineStr">
        <is>
          <t>真实度</t>
        </is>
      </c>
      <c r="B24" s="4" t="inlineStr">
        <is>
          <t>覆盖内容</t>
        </is>
      </c>
      <c r="C24" s="4" t="inlineStr">
        <is>
          <t>在哪</t>
        </is>
      </c>
      <c r="D24" s="4" t="inlineStr">
        <is>
          <t>怎么获得</t>
        </is>
      </c>
    </row>
    <row r="25">
      <c r="A25" s="41" t="inlineStr">
        <is>
          <t>🟢 真实公开数据快照</t>
        </is>
      </c>
      <c r="B25" s="34" t="inlineStr">
        <is>
          <t>FATF 名单状态、OFAC/UN/EU 制裁标记、Basel AML Index、CPI、WGI</t>
        </is>
      </c>
      <c r="C25" s="34" t="inlineStr">
        <is>
          <t>data/countries.json 中 55 个国家的 7 个字段</t>
        </is>
      </c>
      <c r="D25" s="34" t="inlineStr">
        <is>
          <t>手工从各机构官网最新公开报告录入，无 API 调用</t>
        </is>
      </c>
    </row>
    <row r="26">
      <c r="A26" s="41" t="inlineStr">
        <is>
          <t>🟢 真实数据源 URL 与快照日期</t>
        </is>
      </c>
      <c r="B26" s="34" t="inlineStr">
        <is>
          <t>12 个权威数据源的真实链接</t>
        </is>
      </c>
      <c r="C26" s="34" t="inlineStr">
        <is>
          <t>data/sources.json</t>
        </is>
      </c>
      <c r="D26" s="34" t="inlineStr">
        <is>
          <t>手工整理，UI 因子卡片中可点击跳转，但本地数据是快照</t>
        </is>
      </c>
    </row>
    <row r="27">
      <c r="A27" s="41" t="inlineStr">
        <is>
          <t>🟡 硬编码分类字典</t>
        </is>
      </c>
      <c r="B27" s="34" t="inlineStr">
        <is>
          <t>中转枢纽清单、制裁邻国清单、金融保密分档、法治代理映射</t>
        </is>
      </c>
      <c r="C27" s="34" t="inlineStr">
        <is>
          <t>lib/scoring/*.ts 中的常量（TRANSIT_HUBS / SANCTIONED_ADJACENT / hubs / ruleOfLawProxy）</t>
        </is>
      </c>
      <c r="D27" s="34" t="inlineStr">
        <is>
          <t>基于 FinCEN/EU/OFAC 公告与 TJN 排名手工编写</t>
        </is>
      </c>
    </row>
    <row r="28">
      <c r="A28" s="41" t="inlineStr">
        <is>
          <t>🔴 完全 Mock</t>
        </is>
      </c>
      <c r="B28" s="34" t="inlineStr">
        <is>
          <t>200 家公司的名字、行业、运营国、子公司、UBO；adverseMediaCount、PEP、enforcement 等信号</t>
        </is>
      </c>
      <c r="C28" s="34" t="inlineStr">
        <is>
          <t>data/companies.json（由 scripts/generate-companies.ts 用种子 PRNG 生成）</t>
        </is>
      </c>
      <c r="D28" s="34" t="inlineStr">
        <is>
          <t>按公司风险等级反向设计：先定 Critical/High/Medium/Low，再编出对应的信号</t>
        </is>
      </c>
    </row>
    <row r="29">
      <c r="A29" s="41" t="inlineStr">
        <is>
          <t>🔴 真实公司名（Intel/TSMC 等 30 家）</t>
        </is>
      </c>
      <c r="B29" s="34" t="inlineStr">
        <is>
          <t>公司名为真实但所有评分字段为 mock，强制锁定 Low 风险</t>
        </is>
      </c>
      <c r="C29" s="34" t="inlineStr">
        <is>
          <t>REAL_CUSTOMERS 与 REAL_SUPPLIERS 列表</t>
        </is>
      </c>
      <c r="D29" s="34" t="inlineStr">
        <is>
          <t>仅用于演示低风险 Tier-1 实体画像；UI 显示 Illustrative 警告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30" customWidth="1" min="4" max="4"/>
    <col width="24" customWidth="1" min="5" max="5"/>
    <col width="10" customWidth="1" min="6" max="6"/>
    <col width="38" customWidth="1" min="7" max="7"/>
    <col width="38" customWidth="1" min="8" max="8"/>
    <col width="28" customWidth="1" min="9" max="9"/>
    <col width="50" customWidth="1" min="10" max="10"/>
  </cols>
  <sheetData>
    <row r="1" ht="22" customHeight="1">
      <c r="A1" s="42" t="inlineStr">
        <is>
          <t>18 个因子完整说明 — 维度 / 子因子 / 评分逻辑 / 数据来源 / 数据获取方式</t>
        </is>
      </c>
    </row>
    <row r="3" ht="36" customHeight="1">
      <c r="A3" s="4" t="inlineStr">
        <is>
          <t>#</t>
        </is>
      </c>
      <c r="B3" s="4" t="inlineStr">
        <is>
          <t>维度</t>
        </is>
      </c>
      <c r="C3" s="4" t="inlineStr">
        <is>
          <t>维度权重</t>
        </is>
      </c>
      <c r="D3" s="4" t="inlineStr">
        <is>
          <t>因子 (英)</t>
        </is>
      </c>
      <c r="E3" s="4" t="inlineStr">
        <is>
          <t>因子 (中)</t>
        </is>
      </c>
      <c r="F3" s="4" t="inlineStr">
        <is>
          <t>因子权重
(本维度内)</t>
        </is>
      </c>
      <c r="G3" s="4" t="inlineStr">
        <is>
          <t>因子含义</t>
        </is>
      </c>
      <c r="H3" s="4" t="inlineStr">
        <is>
          <t>评分规则</t>
        </is>
      </c>
      <c r="I3" s="4" t="inlineStr">
        <is>
          <t>数据来源</t>
        </is>
      </c>
      <c r="J3" s="4" t="inlineStr">
        <is>
          <t>数据获取方式</t>
        </is>
      </c>
    </row>
    <row r="4" ht="95" customHeight="1">
      <c r="A4" s="43" t="n">
        <v>1</v>
      </c>
      <c r="B4" s="44" t="inlineStr">
        <is>
          <t>Sanctions Screening</t>
        </is>
      </c>
      <c r="C4" s="45" t="n">
        <v>0.25</v>
      </c>
      <c r="D4" s="46" t="inlineStr">
        <is>
          <t>Direct Sanctions Hit</t>
        </is>
      </c>
      <c r="E4" s="46" t="inlineStr">
        <is>
          <t>直接制裁命中</t>
        </is>
      </c>
      <c r="F4" s="45" t="n">
        <v>0.6</v>
      </c>
      <c r="G4" s="47" t="inlineStr">
        <is>
          <t>公司总部注册国是否被全面制裁或列入 FATF 黑名单</t>
        </is>
      </c>
      <c r="H4" s="47" t="inlineStr">
        <is>
          <t>OFAC 全面 / FATF 黑名单 / UN / EU 制裁 → 100；OFAC 部分制裁 → 75；其他 → 0</t>
        </is>
      </c>
      <c r="I4" s="47" t="inlineStr">
        <is>
          <t>OFAC SDN; OFAC Country Programs; UN Consolidated; EU Consolidated; FATF Lists</t>
        </is>
      </c>
      <c r="J4" s="47" t="inlineStr">
        <is>
          <t>真实公开数据快照，手工录入到 data/countries.json 的 ofacComprehensive / ofacPartial / unSanctioned / euSanctioned / fatfStatus 字段</t>
        </is>
      </c>
    </row>
    <row r="5" ht="95" customHeight="1">
      <c r="A5" s="43" t="n">
        <v>2</v>
      </c>
      <c r="B5" s="44" t="inlineStr">
        <is>
          <t>Sanctions Screening</t>
        </is>
      </c>
      <c r="C5" s="45" t="n">
        <v>0.25</v>
      </c>
      <c r="D5" s="46" t="inlineStr">
        <is>
          <t>UBO Sanctions Exposure</t>
        </is>
      </c>
      <c r="E5" s="46" t="inlineStr">
        <is>
          <t>UBO 制裁暴露</t>
        </is>
      </c>
      <c r="F5" s="45" t="n">
        <v>0.3</v>
      </c>
      <c r="G5" s="47" t="inlineStr">
        <is>
          <t>最终受益人中有多少居住在受制裁辖区</t>
        </is>
      </c>
      <c r="H5" s="47" t="inlineStr">
        <is>
          <t>每位受制裁辖区的 UBO 贡献 60 分，累加封顶 100</t>
        </is>
      </c>
      <c r="I5" s="47" t="inlineStr">
        <is>
          <t>OFAC SDN; OpenSanctions</t>
        </is>
      </c>
      <c r="J5" s="47" t="inlineStr">
        <is>
          <t>UBO 列表完全 mock — 由 scripts/generate-companies.ts 按公司风险等级随机生成，国家命中判断使用真实国家数据</t>
        </is>
      </c>
    </row>
    <row r="6" ht="95" customHeight="1">
      <c r="A6" s="43" t="n">
        <v>3</v>
      </c>
      <c r="B6" s="44" t="inlineStr">
        <is>
          <t>Sanctions Screening</t>
        </is>
      </c>
      <c r="C6" s="45" t="n">
        <v>0.25</v>
      </c>
      <c r="D6" s="46" t="inlineStr">
        <is>
          <t>Fuzzy Watchlist Match</t>
        </is>
      </c>
      <c r="E6" s="46" t="inlineStr">
        <is>
          <t>模糊名单匹配</t>
        </is>
      </c>
      <c r="F6" s="45" t="n">
        <v>0.1</v>
      </c>
      <c r="G6" s="47" t="inlineStr">
        <is>
          <t>公司名与综合制裁名单条目的文本相似度</t>
        </is>
      </c>
      <c r="H6" s="47" t="inlineStr">
        <is>
          <t>直接把 0-100 相似度作为分数</t>
        </is>
      </c>
      <c r="I6" s="47" t="inlineStr">
        <is>
          <t>OpenSanctions; OFAC SDN</t>
        </is>
      </c>
      <c r="J6" s="47" t="inlineStr">
        <is>
          <t>fuzzyWatchlistMatchPct 字段在 companies.json 中是 mock 值，按风险等级赋分（Critical 70-99 / High 40-69 / Medium 15-34 / Low 0-9）</t>
        </is>
      </c>
    </row>
    <row r="7" ht="95" customHeight="1">
      <c r="A7" s="48" t="n">
        <v>4</v>
      </c>
      <c r="B7" s="49" t="inlineStr">
        <is>
          <t>Country Risk Scoring</t>
        </is>
      </c>
      <c r="C7" s="50" t="n">
        <v>0.2</v>
      </c>
      <c r="D7" s="51" t="inlineStr">
        <is>
          <t>HQ FATF Status</t>
        </is>
      </c>
      <c r="E7" s="51" t="inlineStr">
        <is>
          <t>总部 FATF 状态</t>
        </is>
      </c>
      <c r="F7" s="50" t="n">
        <v>0.4</v>
      </c>
      <c r="G7" s="52" t="inlineStr">
        <is>
          <t>总部所在国是否在 FATF 高风险或受监控名单</t>
        </is>
      </c>
      <c r="H7" s="52" t="inlineStr">
        <is>
          <t>Blacklist → 100；Greylist → 65；Compliant → 10</t>
        </is>
      </c>
      <c r="I7" s="52" t="inlineStr">
        <is>
          <t>FATF High-Risk &amp; Monitored Jurisdictions</t>
        </is>
      </c>
      <c r="J7" s="52" t="inlineStr">
        <is>
          <t>参照 FATF 2026-02 公开声明手工录入 countries.json 的 fatfStatus 字段</t>
        </is>
      </c>
    </row>
    <row r="8" ht="95" customHeight="1">
      <c r="A8" s="48" t="n">
        <v>5</v>
      </c>
      <c r="B8" s="49" t="inlineStr">
        <is>
          <t>Country Risk Scoring</t>
        </is>
      </c>
      <c r="C8" s="50" t="n">
        <v>0.2</v>
      </c>
      <c r="D8" s="51" t="inlineStr">
        <is>
          <t>Basel AML Index</t>
        </is>
      </c>
      <c r="E8" s="51" t="inlineStr">
        <is>
          <t>巴塞尔反洗钱指数</t>
        </is>
      </c>
      <c r="F8" s="50" t="n">
        <v>0.3</v>
      </c>
      <c r="G8" s="52" t="inlineStr">
        <is>
          <t>Basel Institute on Governance 年度反洗钱风险评分（0-10）</t>
        </is>
      </c>
      <c r="H8" s="52" t="inlineStr">
        <is>
          <t>线性映射：Basel 值 × 10 → 0-100</t>
        </is>
      </c>
      <c r="I8" s="52" t="inlineStr">
        <is>
          <t>Basel AML Index (index.baselgovernance.org)</t>
        </is>
      </c>
      <c r="J8" s="52" t="inlineStr">
        <is>
          <t>录入 Basel 2024 报告中各国分数到 countries.json 的 baselAmlIndex 字段（如缅甸 8.17、海地 7.92、芬兰 2.98）</t>
        </is>
      </c>
    </row>
    <row r="9" ht="95" customHeight="1">
      <c r="A9" s="48" t="n">
        <v>6</v>
      </c>
      <c r="B9" s="49" t="inlineStr">
        <is>
          <t>Country Risk Scoring</t>
        </is>
      </c>
      <c r="C9" s="50" t="n">
        <v>0.2</v>
      </c>
      <c r="D9" s="51" t="inlineStr">
        <is>
          <t>Corruption Perceptions Index</t>
        </is>
      </c>
      <c r="E9" s="51" t="inlineStr">
        <is>
          <t>清廉指数</t>
        </is>
      </c>
      <c r="F9" s="50" t="n">
        <v>0.3</v>
      </c>
      <c r="G9" s="52" t="inlineStr">
        <is>
          <t>Transparency International 清廉指数（0=极腐败，100=极清廉）</t>
        </is>
      </c>
      <c r="H9" s="52" t="inlineStr">
        <is>
          <t>反向映射：100 - CPI</t>
        </is>
      </c>
      <c r="I9" s="52" t="inlineStr">
        <is>
          <t>Transparency International CPI 2024</t>
        </is>
      </c>
      <c r="J9" s="52" t="inlineStr">
        <is>
          <t>录入 TI 2024 报告各国分数到 countries.json 的 cpi 字段（如丹麦 90、中国 43、俄罗斯 22）</t>
        </is>
      </c>
    </row>
    <row r="10" ht="95" customHeight="1">
      <c r="A10" s="53" t="n">
        <v>7</v>
      </c>
      <c r="B10" s="54" t="inlineStr">
        <is>
          <t>High-Risk Jurisdiction Monitoring</t>
        </is>
      </c>
      <c r="C10" s="55" t="n">
        <v>0.15</v>
      </c>
      <c r="D10" s="56" t="inlineStr">
        <is>
          <t>High-Risk Operating Footprint</t>
        </is>
      </c>
      <c r="E10" s="56" t="inlineStr">
        <is>
          <t>高风险运营足迹</t>
        </is>
      </c>
      <c r="F10" s="55" t="n">
        <v>0.4</v>
      </c>
      <c r="G10" s="57" t="inlineStr">
        <is>
          <t>公司运营国家中被列为 FATF 黑/灰名单或 OFAC 制裁的占比</t>
        </is>
      </c>
      <c r="H10" s="57" t="inlineStr">
        <is>
          <t>(高风险运营国数 / 总运营国数) × 100</t>
        </is>
      </c>
      <c r="I10" s="57" t="inlineStr">
        <is>
          <t>FATF Lists; OFAC Country Programs</t>
        </is>
      </c>
      <c r="J10" s="57" t="inlineStr">
        <is>
          <t>operatingCountries 列表 mock（按公司风险等级从不同国家池抽样 4-8 个），运行时用真实国家数据判断高风险</t>
        </is>
      </c>
    </row>
    <row r="11" ht="95" customHeight="1">
      <c r="A11" s="53" t="n">
        <v>8</v>
      </c>
      <c r="B11" s="54" t="inlineStr">
        <is>
          <t>High-Risk Jurisdiction Monitoring</t>
        </is>
      </c>
      <c r="C11" s="55" t="n">
        <v>0.15</v>
      </c>
      <c r="D11" s="56" t="inlineStr">
        <is>
          <t>Subsidiaries in Sanctioned Jurisdictions</t>
        </is>
      </c>
      <c r="E11" s="56" t="inlineStr">
        <is>
          <t>受制裁辖区子公司</t>
        </is>
      </c>
      <c r="F11" s="55" t="n">
        <v>0.4</v>
      </c>
      <c r="G11" s="57" t="inlineStr">
        <is>
          <t>子公司设在 OFAC 全面制裁或 FATF 黑名单国家的数量</t>
        </is>
      </c>
      <c r="H11" s="57" t="inlineStr">
        <is>
          <t>0 个 → 0；任一 → 40；每加 1 个 +25；封顶 100</t>
        </is>
      </c>
      <c r="I11" s="57" t="inlineStr">
        <is>
          <t>OFAC Country Programs; FATF Lists</t>
        </is>
      </c>
      <c r="J11" s="57" t="inlineStr">
        <is>
          <t>subsidiaries 数组完全 mock；Critical 公司 40% 概率把子公司放在 KP/IR/SY，High 35%，等等</t>
        </is>
      </c>
    </row>
    <row r="12" ht="95" customHeight="1">
      <c r="A12" s="53" t="n">
        <v>9</v>
      </c>
      <c r="B12" s="54" t="inlineStr">
        <is>
          <t>High-Risk Jurisdiction Monitoring</t>
        </is>
      </c>
      <c r="C12" s="55" t="n">
        <v>0.15</v>
      </c>
      <c r="D12" s="56" t="inlineStr">
        <is>
          <t>Recent High-Risk Expansion</t>
        </is>
      </c>
      <c r="E12" s="56" t="inlineStr">
        <is>
          <t>近期高风险扩张</t>
        </is>
      </c>
      <c r="F12" s="55" t="n">
        <v>0.2</v>
      </c>
      <c r="G12" s="57" t="inlineStr">
        <is>
          <t>过去 6 个月是否新进入了高风险辖区（动态监控信号）</t>
        </is>
      </c>
      <c r="H12" s="57" t="inlineStr">
        <is>
          <t>布尔触发 → 85；否则 → 0</t>
        </is>
      </c>
      <c r="I12" s="57" t="inlineStr">
        <is>
          <t>Control Risks Country Risk Forecast</t>
        </is>
      </c>
      <c r="J12" s="57" t="inlineStr">
        <is>
          <t>suddenJurisdictionExpansion 布尔字段 mock；Critical 100% / High 60% / Medium 20% / Low 0%</t>
        </is>
      </c>
    </row>
    <row r="13" ht="95" customHeight="1">
      <c r="A13" s="58" t="n">
        <v>10</v>
      </c>
      <c r="B13" s="59" t="inlineStr">
        <is>
          <t>Sanctions Circumvention Risk</t>
        </is>
      </c>
      <c r="C13" s="60" t="n">
        <v>0.15</v>
      </c>
      <c r="D13" s="61" t="inlineStr">
        <is>
          <t>Transit Country Pattern</t>
        </is>
      </c>
      <c r="E13" s="61" t="inlineStr">
        <is>
          <t>中转国家模式</t>
        </is>
      </c>
      <c r="F13" s="60" t="n">
        <v>0.5</v>
      </c>
      <c r="G13" s="62" t="inlineStr">
        <is>
          <t>公司是否同时在中转枢纽（AE/TR/HK/SG/CY/VG/KY/LU/CH/MC）和受制裁辖区运营</t>
        </is>
      </c>
      <c r="H13" s="62" t="inlineStr">
        <is>
          <t>同时命中 → 85；只占其一 → 35；都没有 → 0</t>
        </is>
      </c>
      <c r="I13" s="62" t="inlineStr">
        <is>
          <t>Control Risks; OpenSanctions; FinCEN Advisories</t>
        </is>
      </c>
      <c r="J13" s="62" t="inlineStr">
        <is>
          <t>TRANSIT_HUBS 集合硬编码在 lib/scoring/circumvention.ts，operatingCountries 仍为 mock</t>
        </is>
      </c>
    </row>
    <row r="14" ht="95" customHeight="1">
      <c r="A14" s="58" t="n">
        <v>11</v>
      </c>
      <c r="B14" s="59" t="inlineStr">
        <is>
          <t>Sanctions Circumvention Risk</t>
        </is>
      </c>
      <c r="C14" s="60" t="n">
        <v>0.15</v>
      </c>
      <c r="D14" s="61" t="inlineStr">
        <is>
          <t>Sanctioned-Neighbor Exposure</t>
        </is>
      </c>
      <c r="E14" s="61" t="inlineStr">
        <is>
          <t>制裁国邻国暴露</t>
        </is>
      </c>
      <c r="F14" s="60" t="n">
        <v>0.3</v>
      </c>
      <c r="G14" s="62" t="inlineStr">
        <is>
          <t>在与全面制裁国接壤的国家做业务的数量（如 KZ/AM/GE 紧邻俄罗斯）</t>
        </is>
      </c>
      <c r="H14" s="62" t="inlineStr">
        <is>
          <t>0 个 → 0；任一 → 25；每加 1 个 +20；封顶 100</t>
        </is>
      </c>
      <c r="I14" s="62" t="inlineStr">
        <is>
          <t>Control Risks; FinCEN Advisories</t>
        </is>
      </c>
      <c r="J14" s="62" t="inlineStr">
        <is>
          <t>SANCTIONED_ADJACENT 集合硬编码在 circumvention.ts，operatingCountries mock</t>
        </is>
      </c>
    </row>
    <row r="15" ht="95" customHeight="1">
      <c r="A15" s="58" t="n">
        <v>12</v>
      </c>
      <c r="B15" s="59" t="inlineStr">
        <is>
          <t>Sanctions Circumvention Risk</t>
        </is>
      </c>
      <c r="C15" s="60" t="n">
        <v>0.15</v>
      </c>
      <c r="D15" s="61" t="inlineStr">
        <is>
          <t>Opaque Ownership Chain</t>
        </is>
      </c>
      <c r="E15" s="61" t="inlineStr">
        <is>
          <t>不透明所有权链</t>
        </is>
      </c>
      <c r="F15" s="60" t="n">
        <v>0.2</v>
      </c>
      <c r="G15" s="62" t="inlineStr">
        <is>
          <t>子公司和 UBO 中位于金融保密枢纽的数量（FSI 排名靠前）</t>
        </is>
      </c>
      <c r="H15" s="62" t="inlineStr">
        <is>
          <t>子公司数 × 15 + UBO 数 × 25，封顶 100</t>
        </is>
      </c>
      <c r="I15" s="62" t="inlineStr">
        <is>
          <t>Tax Justice Network FSI; OpenSanctions</t>
        </is>
      </c>
      <c r="J15" s="62" t="inlineStr">
        <is>
          <t>复用 TRANSIT_HUBS 作为保密辖区近似；子公司/UBO 数据 mock</t>
        </is>
      </c>
    </row>
    <row r="16" ht="95" customHeight="1">
      <c r="A16" s="63" t="n">
        <v>13</v>
      </c>
      <c r="B16" s="64" t="inlineStr">
        <is>
          <t>PEP &amp; Adverse Media</t>
        </is>
      </c>
      <c r="C16" s="65" t="n">
        <v>0.15</v>
      </c>
      <c r="D16" s="66" t="inlineStr">
        <is>
          <t>UBO PEP Status</t>
        </is>
      </c>
      <c r="E16" s="66" t="inlineStr">
        <is>
          <t>UBO 政治敏感人物</t>
        </is>
      </c>
      <c r="F16" s="65" t="n">
        <v>0.5</v>
      </c>
      <c r="G16" s="67" t="inlineStr">
        <is>
          <t>受益人是否为政治敏感人物（现/前任官员、军方、国企高管或直系亲属）</t>
        </is>
      </c>
      <c r="H16" s="67" t="inlineStr">
        <is>
          <t>0 位 → 0；1 位 → 45；每加 1 位 +25；封顶 100</t>
        </is>
      </c>
      <c r="I16" s="67" t="inlineStr">
        <is>
          <t>OpenSanctions PEP</t>
        </is>
      </c>
      <c r="J16" s="67" t="inlineStr">
        <is>
          <t>ubos[].pep 布尔字段 mock；Critical 85% / High 60% / Medium 25% / Low 3% 概率赋 PEP</t>
        </is>
      </c>
    </row>
    <row r="17" ht="95" customHeight="1">
      <c r="A17" s="63" t="n">
        <v>14</v>
      </c>
      <c r="B17" s="64" t="inlineStr">
        <is>
          <t>PEP &amp; Adverse Media</t>
        </is>
      </c>
      <c r="C17" s="65" t="n">
        <v>0.15</v>
      </c>
      <c r="D17" s="66" t="inlineStr">
        <is>
          <t>Adverse Media Count</t>
        </is>
      </c>
      <c r="E17" s="66" t="inlineStr">
        <is>
          <t>负面媒体数量</t>
        </is>
      </c>
      <c r="F17" s="65" t="n">
        <v>0.3</v>
      </c>
      <c r="G17" s="67" t="inlineStr">
        <is>
          <t>过去 24 个月涉及反洗钱/欺诈/制裁/腐败等关键词的负面新闻条数</t>
        </is>
      </c>
      <c r="H17" s="67" t="inlineStr">
        <is>
          <t>条数 × 8，封顶 100</t>
        </is>
      </c>
      <c r="I17" s="67" t="inlineStr">
        <is>
          <t>OpenSanctions; (商业可选: Dow Jones / Refinitiv / GDELT)</t>
        </is>
      </c>
      <c r="J17" s="67" t="inlineStr">
        <is>
          <t>adverseMediaCount 数值 mock；Critical 6-15 / High 2-7 / Medium 0-2 / Low 0；可改造为 GDELT API 实时查询</t>
        </is>
      </c>
    </row>
    <row r="18" ht="95" customHeight="1">
      <c r="A18" s="63" t="n">
        <v>15</v>
      </c>
      <c r="B18" s="64" t="inlineStr">
        <is>
          <t>PEP &amp; Adverse Media</t>
        </is>
      </c>
      <c r="C18" s="65" t="n">
        <v>0.15</v>
      </c>
      <c r="D18" s="66" t="inlineStr">
        <is>
          <t>Regulatory Enforcement History</t>
        </is>
      </c>
      <c r="E18" s="66" t="inlineStr">
        <is>
          <t>监管处罚历史</t>
        </is>
      </c>
      <c r="F18" s="65" t="n">
        <v>0.2</v>
      </c>
      <c r="G18" s="67" t="inlineStr">
        <is>
          <t>历史上是否被 OFAC / FinCEN / 欧盟或本国监管机构正式处罚</t>
        </is>
      </c>
      <c r="H18" s="67" t="inlineStr">
        <is>
          <t>0 次 → 0；1 次 → 55；每加 1 次 +25；封顶 100</t>
        </is>
      </c>
      <c r="I18" s="67" t="inlineStr">
        <is>
          <t>OFAC Enforcement; OpenSanctions</t>
        </is>
      </c>
      <c r="J18" s="67" t="inlineStr">
        <is>
          <t>regulatoryEnforcementCount mock；Critical 1-3 次 / High 40% 概率 1 次 / Medium/Low 0</t>
        </is>
      </c>
    </row>
    <row r="19" ht="95" customHeight="1">
      <c r="A19" s="68" t="n">
        <v>16</v>
      </c>
      <c r="B19" s="69" t="inlineStr">
        <is>
          <t>Country Context Enrichment</t>
        </is>
      </c>
      <c r="C19" s="70" t="n">
        <v>0.1</v>
      </c>
      <c r="D19" s="71" t="inlineStr">
        <is>
          <t>WGI Control of Corruption</t>
        </is>
      </c>
      <c r="E19" s="71" t="inlineStr">
        <is>
          <t>WGI 腐败控制</t>
        </is>
      </c>
      <c r="F19" s="70" t="n">
        <v>0.5</v>
      </c>
      <c r="G19" s="72" t="inlineStr">
        <is>
          <t>World Bank 全球治理指标的腐败控制分项（-2.5 到 2.5，越高越好）</t>
        </is>
      </c>
      <c r="H19" s="72" t="inlineStr">
        <is>
          <t>标准化：((2.5 - wgi) / 5) × 100</t>
        </is>
      </c>
      <c r="I19" s="72" t="inlineStr">
        <is>
          <t>World Bank Worldwide Governance Indicators</t>
        </is>
      </c>
      <c r="J19" s="72" t="inlineStr">
        <is>
          <t>WGI 2024 真实分数手工录入 countries.json 的 wgiControlOfCorruption 字段（丹麦 2.31、芬兰 2.17、中国 -0.27、朝鲜 -1.55）</t>
        </is>
      </c>
    </row>
    <row r="20" ht="95" customHeight="1">
      <c r="A20" s="68" t="n">
        <v>17</v>
      </c>
      <c r="B20" s="69" t="inlineStr">
        <is>
          <t>Country Context Enrichment</t>
        </is>
      </c>
      <c r="C20" s="70" t="n">
        <v>0.1</v>
      </c>
      <c r="D20" s="71" t="inlineStr">
        <is>
          <t>Rule of Law Environment</t>
        </is>
      </c>
      <c r="E20" s="71" t="inlineStr">
        <is>
          <t>法治环境</t>
        </is>
      </c>
      <c r="F20" s="70" t="n">
        <v>0.3</v>
      </c>
      <c r="G20" s="72" t="inlineStr">
        <is>
          <t>World Justice Project 法治指数（政府约束、腐败、基本权利、秩序、监管执行）</t>
        </is>
      </c>
      <c r="H20" s="72" t="inlineStr">
        <is>
          <t>代理映射：基于 WGI 标准化</t>
        </is>
      </c>
      <c r="I20" s="72" t="inlineStr">
        <is>
          <t>WJP Rule of Law Index; (fallback: World Bank WGI)</t>
        </is>
      </c>
      <c r="J20" s="72" t="inlineStr">
        <is>
          <t>代理值：lib/scoring/enrichment.ts 的 ruleOfLawProxy() 用 WGI 近似；如要精确应导入 WJP CSV</t>
        </is>
      </c>
    </row>
    <row r="21" ht="95" customHeight="1">
      <c r="A21" s="68" t="n">
        <v>18</v>
      </c>
      <c r="B21" s="69" t="inlineStr">
        <is>
          <t>Country Context Enrichment</t>
        </is>
      </c>
      <c r="C21" s="70" t="n">
        <v>0.1</v>
      </c>
      <c r="D21" s="71" t="inlineStr">
        <is>
          <t>Financial Secrecy</t>
        </is>
      </c>
      <c r="E21" s="71" t="inlineStr">
        <is>
          <t>金融保密度</t>
        </is>
      </c>
      <c r="F21" s="70" t="n">
        <v>0.2</v>
      </c>
      <c r="G21" s="72" t="inlineStr">
        <is>
          <t>Tax Justice Network 金融保密指数（衡量受益所有权透明度与银行保密程度）</t>
        </is>
      </c>
      <c r="H21" s="72" t="inlineStr">
        <is>
          <t>直接使用保密分数 0-100（越高越保密）</t>
        </is>
      </c>
      <c r="I21" s="72" t="inlineStr">
        <is>
          <t>Tax Justice Network Financial Secrecy Index</t>
        </is>
      </c>
      <c r="J21" s="72" t="inlineStr">
        <is>
          <t>在 enrichment.ts 中维护 hubs 字典手工分档（UAE 78、Monaco 70、新加坡 70、瑞士 65、芬兰 28）</t>
        </is>
      </c>
    </row>
    <row r="23">
      <c r="A23" s="29" t="inlineStr">
        <is>
          <t>校验</t>
        </is>
      </c>
      <c r="B23" s="73" t="inlineStr">
        <is>
          <t>每个维度因子权重合计应为 100%</t>
        </is>
      </c>
    </row>
    <row r="24">
      <c r="B24" s="74" t="inlineStr">
        <is>
          <t>Sanctions Screening</t>
        </is>
      </c>
      <c r="C24" s="75">
        <f>SUMIF(B4:B21,"Sanctions Screening",F4:F21)</f>
        <v/>
      </c>
    </row>
    <row r="25">
      <c r="B25" s="74" t="inlineStr">
        <is>
          <t>Country Risk Scoring</t>
        </is>
      </c>
      <c r="C25" s="75">
        <f>SUMIF(B4:B21,"Country Risk Scoring",F4:F21)</f>
        <v/>
      </c>
    </row>
    <row r="26">
      <c r="B26" s="74" t="inlineStr">
        <is>
          <t>High-Risk Jurisdiction Monitoring</t>
        </is>
      </c>
      <c r="C26" s="75">
        <f>SUMIF(B4:B21,"High-Risk Jurisdiction Monitoring",F4:F21)</f>
        <v/>
      </c>
    </row>
    <row r="27">
      <c r="B27" s="74" t="inlineStr">
        <is>
          <t>Sanctions Circumvention Risk</t>
        </is>
      </c>
      <c r="C27" s="75">
        <f>SUMIF(B4:B21,"Sanctions Circumvention Risk",F4:F21)</f>
        <v/>
      </c>
    </row>
    <row r="28">
      <c r="B28" s="74" t="inlineStr">
        <is>
          <t>PEP &amp; Adverse Media</t>
        </is>
      </c>
      <c r="C28" s="75">
        <f>SUMIF(B4:B21,"PEP &amp; Adverse Media",F4:F21)</f>
        <v/>
      </c>
    </row>
    <row r="29">
      <c r="B29" s="74" t="inlineStr">
        <is>
          <t>Country Context Enrichment</t>
        </is>
      </c>
      <c r="C29" s="75">
        <f>SUMIF(B4:B21,"Country Context Enrichment",F4:F21)</f>
        <v/>
      </c>
    </row>
  </sheetData>
  <mergeCells count="2">
    <mergeCell ref="A1:I1"/>
    <mergeCell ref="B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35" customWidth="1" min="4" max="4"/>
    <col width="55" customWidth="1" min="5" max="5"/>
    <col width="13" customWidth="1" min="6" max="6"/>
    <col width="50" customWidth="1" min="7" max="7"/>
  </cols>
  <sheetData>
    <row r="1">
      <c r="A1" s="42" t="inlineStr">
        <is>
          <t>12 个权威数据源完整目录</t>
        </is>
      </c>
    </row>
    <row r="3">
      <c r="A3" s="4" t="inlineStr">
        <is>
          <t>#</t>
        </is>
      </c>
      <c r="B3" s="4" t="inlineStr">
        <is>
          <t>数据源 ID</t>
        </is>
      </c>
      <c r="C3" s="4" t="inlineStr">
        <is>
          <t>权威机构</t>
        </is>
      </c>
      <c r="D3" s="4" t="inlineStr">
        <is>
          <t>完整名称</t>
        </is>
      </c>
      <c r="E3" s="4" t="inlineStr">
        <is>
          <t>URL</t>
        </is>
      </c>
      <c r="F3" s="4" t="inlineStr">
        <is>
          <t>快照日期</t>
        </is>
      </c>
      <c r="G3" s="4" t="inlineStr">
        <is>
          <t>描述</t>
        </is>
      </c>
    </row>
    <row r="4" ht="50" customHeight="1">
      <c r="A4" s="32" t="n">
        <v>1</v>
      </c>
      <c r="B4" s="76" t="inlineStr">
        <is>
          <t>fatf_lists</t>
        </is>
      </c>
      <c r="C4" s="77" t="inlineStr">
        <is>
          <t>Financial Action Task Force</t>
        </is>
      </c>
      <c r="D4" s="34" t="inlineStr">
        <is>
          <t>FATF High-Risk &amp; Monitored Jurisdictions</t>
        </is>
      </c>
      <c r="E4" s="78" t="inlineStr">
        <is>
          <t>https://www.fatf-gafi.org/en/publications/High-risk-and-other-monitored-jurisdictions.html</t>
        </is>
      </c>
      <c r="F4" s="32" t="inlineStr">
        <is>
          <t>2026-02-14</t>
        </is>
      </c>
      <c r="G4" s="34" t="inlineStr">
        <is>
          <t>受呼吁采取行动的黑名单与受加强监控的灰名单</t>
        </is>
      </c>
    </row>
    <row r="5" ht="50" customHeight="1">
      <c r="A5" s="32" t="n">
        <v>2</v>
      </c>
      <c r="B5" s="76" t="inlineStr">
        <is>
          <t>ofac_sdn</t>
        </is>
      </c>
      <c r="C5" s="77" t="inlineStr">
        <is>
          <t>U.S. Treasury OFAC</t>
        </is>
      </c>
      <c r="D5" s="34" t="inlineStr">
        <is>
          <t>Specially Designated Nationals (SDN) List</t>
        </is>
      </c>
      <c r="E5" s="78" t="inlineStr">
        <is>
          <t>https://sanctionssearch.ofac.treas.gov/</t>
        </is>
      </c>
      <c r="F5" s="32" t="inlineStr">
        <is>
          <t>2026-03-28</t>
        </is>
      </c>
      <c r="G5" s="34" t="inlineStr">
        <is>
          <t>美国受 OFAC 项目资产冻结的个人与实体主要综合名单</t>
        </is>
      </c>
    </row>
    <row r="6" ht="50" customHeight="1">
      <c r="A6" s="32" t="n">
        <v>3</v>
      </c>
      <c r="B6" s="76" t="inlineStr">
        <is>
          <t>ofac_countries</t>
        </is>
      </c>
      <c r="C6" s="77" t="inlineStr">
        <is>
          <t>U.S. Treasury OFAC</t>
        </is>
      </c>
      <c r="D6" s="34" t="inlineStr">
        <is>
          <t>OFAC Sanctions Programs by Country</t>
        </is>
      </c>
      <c r="E6" s="78" t="inlineStr">
        <is>
          <t>https://ofac.treasury.gov/sanctions-programs-and-country-information</t>
        </is>
      </c>
      <c r="F6" s="32" t="inlineStr">
        <is>
          <t>2026-03-28</t>
        </is>
      </c>
      <c r="G6" s="34" t="inlineStr">
        <is>
          <t>按国家划分的制裁项目说明（古巴/伊朗/朝鲜/叙利亚为全面，俄/委为部门）</t>
        </is>
      </c>
    </row>
    <row r="7" ht="50" customHeight="1">
      <c r="A7" s="32" t="n">
        <v>4</v>
      </c>
      <c r="B7" s="76" t="inlineStr">
        <is>
          <t>un_consolidated</t>
        </is>
      </c>
      <c r="C7" s="77" t="inlineStr">
        <is>
          <t>United Nations Security Council</t>
        </is>
      </c>
      <c r="D7" s="34" t="inlineStr">
        <is>
          <t>UN Consolidated Sanctions List</t>
        </is>
      </c>
      <c r="E7" s="78" t="inlineStr">
        <is>
          <t>https://www.un.org/securitycouncil/content/un-sc-consolidated-list</t>
        </is>
      </c>
      <c r="F7" s="32" t="inlineStr">
        <is>
          <t>2026-03-20</t>
        </is>
      </c>
      <c r="G7" s="34" t="inlineStr">
        <is>
          <t>受联合国安理会各制裁机制约束的个人与实体清单</t>
        </is>
      </c>
    </row>
    <row r="8" ht="50" customHeight="1">
      <c r="A8" s="32" t="n">
        <v>5</v>
      </c>
      <c r="B8" s="76" t="inlineStr">
        <is>
          <t>eu_consolidated</t>
        </is>
      </c>
      <c r="C8" s="77" t="inlineStr">
        <is>
          <t>European Commission</t>
        </is>
      </c>
      <c r="D8" s="34" t="inlineStr">
        <is>
          <t>EU Consolidated Financial Sanctions List</t>
        </is>
      </c>
      <c r="E8" s="78" t="inlineStr">
        <is>
          <t>https://webgate.ec.europa.eu/fsd/fsf</t>
        </is>
      </c>
      <c r="F8" s="32" t="inlineStr">
        <is>
          <t>2026-03-22</t>
        </is>
      </c>
      <c r="G8" s="34" t="inlineStr">
        <is>
          <t>受欧盟金融制裁的个人、团体与实体综合清单</t>
        </is>
      </c>
    </row>
    <row r="9" ht="50" customHeight="1">
      <c r="A9" s="32" t="n">
        <v>6</v>
      </c>
      <c r="B9" s="76" t="inlineStr">
        <is>
          <t>basel_aml</t>
        </is>
      </c>
      <c r="C9" s="77" t="inlineStr">
        <is>
          <t>Basel Institute on Governance</t>
        </is>
      </c>
      <c r="D9" s="34" t="inlineStr">
        <is>
          <t>Basel AML Index</t>
        </is>
      </c>
      <c r="E9" s="78" t="inlineStr">
        <is>
          <t>https://index.baselgovernance.org</t>
        </is>
      </c>
      <c r="F9" s="32" t="inlineStr">
        <is>
          <t>2024-11-15</t>
        </is>
      </c>
      <c r="G9" s="34" t="inlineStr">
        <is>
          <t>基于 17 个指标的国家洗钱与恐怖融资风险年度排名（0-10）</t>
        </is>
      </c>
    </row>
    <row r="10" ht="50" customHeight="1">
      <c r="A10" s="32" t="n">
        <v>7</v>
      </c>
      <c r="B10" s="76" t="inlineStr">
        <is>
          <t>ti_cpi</t>
        </is>
      </c>
      <c r="C10" s="77" t="inlineStr">
        <is>
          <t>Transparency International</t>
        </is>
      </c>
      <c r="D10" s="34" t="inlineStr">
        <is>
          <t>Corruption Perceptions Index</t>
        </is>
      </c>
      <c r="E10" s="78" t="inlineStr">
        <is>
          <t>https://www.transparency.org/en/cpi</t>
        </is>
      </c>
      <c r="F10" s="32" t="inlineStr">
        <is>
          <t>2024-01-30</t>
        </is>
      </c>
      <c r="G10" s="34" t="inlineStr">
        <is>
          <t>对各国公共部门腐败感知的年度排名（0=极腐败，100=极清廉）</t>
        </is>
      </c>
    </row>
    <row r="11" ht="50" customHeight="1">
      <c r="A11" s="32" t="n">
        <v>8</v>
      </c>
      <c r="B11" s="76" t="inlineStr">
        <is>
          <t>wb_wgi</t>
        </is>
      </c>
      <c r="C11" s="77" t="inlineStr">
        <is>
          <t>World Bank Group</t>
        </is>
      </c>
      <c r="D11" s="34" t="inlineStr">
        <is>
          <t>Worldwide Governance Indicators</t>
        </is>
      </c>
      <c r="E11" s="78" t="inlineStr">
        <is>
          <t>https://info.worldbank.org/governance/wgi/</t>
        </is>
      </c>
      <c r="F11" s="32" t="inlineStr">
        <is>
          <t>2024-09-24</t>
        </is>
      </c>
      <c r="G11" s="34" t="inlineStr">
        <is>
          <t>六大治理维度（含腐败控制），评分范围 -2.5 到 2.5</t>
        </is>
      </c>
    </row>
    <row r="12" ht="50" customHeight="1">
      <c r="A12" s="32" t="n">
        <v>9</v>
      </c>
      <c r="B12" s="76" t="inlineStr">
        <is>
          <t>wjp_rol</t>
        </is>
      </c>
      <c r="C12" s="77" t="inlineStr">
        <is>
          <t>World Justice Project</t>
        </is>
      </c>
      <c r="D12" s="34" t="inlineStr">
        <is>
          <t>Rule of Law Index</t>
        </is>
      </c>
      <c r="E12" s="78" t="inlineStr">
        <is>
          <t>https://worldjusticeproject.org/rule-of-law-index</t>
        </is>
      </c>
      <c r="F12" s="32" t="inlineStr">
        <is>
          <t>2024-10-23</t>
        </is>
      </c>
      <c r="G12" s="34" t="inlineStr">
        <is>
          <t>法治评分（政府约束、腐败、基本权利、秩序、监管执行）</t>
        </is>
      </c>
    </row>
    <row r="13" ht="50" customHeight="1">
      <c r="A13" s="32" t="n">
        <v>10</v>
      </c>
      <c r="B13" s="76" t="inlineStr">
        <is>
          <t>tjn_fsi</t>
        </is>
      </c>
      <c r="C13" s="77" t="inlineStr">
        <is>
          <t>Tax Justice Network</t>
        </is>
      </c>
      <c r="D13" s="34" t="inlineStr">
        <is>
          <t>Financial Secrecy Index</t>
        </is>
      </c>
      <c r="E13" s="78" t="inlineStr">
        <is>
          <t>https://taxjustice.net/topics/financial-secrecy-index/</t>
        </is>
      </c>
      <c r="F13" s="32" t="inlineStr">
        <is>
          <t>2022-05-17</t>
        </is>
      </c>
      <c r="G13" s="34" t="inlineStr">
        <is>
          <t>按各辖区对全球金融保密的贡献度进行排名</t>
        </is>
      </c>
    </row>
    <row r="14" ht="50" customHeight="1">
      <c r="A14" s="32" t="n">
        <v>11</v>
      </c>
      <c r="B14" s="76" t="inlineStr">
        <is>
          <t>open_sanctions</t>
        </is>
      </c>
      <c r="C14" s="77" t="inlineStr">
        <is>
          <t>OpenSanctions e.V.</t>
        </is>
      </c>
      <c r="D14" s="34" t="inlineStr">
        <is>
          <t>OpenSanctions</t>
        </is>
      </c>
      <c r="E14" s="78" t="inlineStr">
        <is>
          <t>https://www.opensanctions.org</t>
        </is>
      </c>
      <c r="F14" s="32" t="inlineStr">
        <is>
          <t>2026-03-30</t>
        </is>
      </c>
      <c r="G14" s="34" t="inlineStr">
        <is>
          <t>聚合的开放制裁、PEP 及关注名单数据库</t>
        </is>
      </c>
    </row>
    <row r="15" ht="50" customHeight="1">
      <c r="A15" s="32" t="n">
        <v>12</v>
      </c>
      <c r="B15" s="76" t="inlineStr">
        <is>
          <t>control_risks_geo</t>
        </is>
      </c>
      <c r="C15" s="77" t="inlineStr">
        <is>
          <t>Control Risks</t>
        </is>
      </c>
      <c r="D15" s="34" t="inlineStr">
        <is>
          <t>Country Risk Forecast / RiskMap</t>
        </is>
      </c>
      <c r="E15" s="78" t="inlineStr">
        <is>
          <t>https://www.controlrisks.com/our-thinking/insights/riskmap</t>
        </is>
      </c>
      <c r="F15" s="32" t="inlineStr">
        <is>
          <t>2025-12-10</t>
        </is>
      </c>
      <c r="G15" s="34" t="inlineStr">
        <is>
          <t>商业地缘政治与运营风险评级（用于规避与司法辖区监控）</t>
        </is>
      </c>
    </row>
  </sheetData>
  <mergeCells count="1">
    <mergeCell ref="A1:F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0" customWidth="1" min="3" max="3"/>
    <col width="40" customWidth="1" min="4" max="4"/>
    <col width="34" customWidth="1" min="5" max="5"/>
  </cols>
  <sheetData>
    <row r="1">
      <c r="A1" s="79" t="inlineStr">
        <is>
          <t>评分逻辑中的硬编码国家清单（lib/scoring/circumvention.ts 与 enrichment.ts）</t>
        </is>
      </c>
    </row>
    <row r="3">
      <c r="A3" s="4" t="inlineStr">
        <is>
          <t>常量名</t>
        </is>
      </c>
      <c r="B3" s="4" t="inlineStr">
        <is>
          <t>中文名</t>
        </is>
      </c>
      <c r="C3" s="4" t="inlineStr">
        <is>
          <t>成员（ISO-2 国家代码）</t>
        </is>
      </c>
      <c r="D3" s="4" t="inlineStr">
        <is>
          <t>选择依据</t>
        </is>
      </c>
      <c r="E3" s="4" t="inlineStr">
        <is>
          <t>用于哪个因子</t>
        </is>
      </c>
    </row>
    <row r="4" ht="60" customHeight="1">
      <c r="A4" s="80" t="inlineStr">
        <is>
          <t>TRANSIT_HUBS</t>
        </is>
      </c>
      <c r="B4" s="81" t="inlineStr">
        <is>
          <t>中转枢纽</t>
        </is>
      </c>
      <c r="C4" s="81" t="inlineStr">
        <is>
          <t>AE, TR, HK, SG, MC, CY, VG, KY, LU, CH</t>
        </is>
      </c>
      <c r="D4" s="81" t="inlineStr">
        <is>
          <t>金融基础设施发达 + 跨境便利 + 历史上被规避路径利用</t>
        </is>
      </c>
      <c r="E4" s="81" t="inlineStr">
        <is>
          <t>Sanctions Circumvention Risk → Transit Country Pattern</t>
        </is>
      </c>
    </row>
    <row r="5" ht="60" customHeight="1">
      <c r="A5" s="80" t="inlineStr">
        <is>
          <t>SANCTIONED_ADJACENT</t>
        </is>
      </c>
      <c r="B5" s="81" t="inlineStr">
        <is>
          <t>制裁国邻国</t>
        </is>
      </c>
      <c r="C5" s="81" t="inlineStr">
        <is>
          <t>AM, AZ, KZ, UZ, TJ, TM, GE, IQ, AF, CN, KR, RU, LB, JO</t>
        </is>
      </c>
      <c r="D5" s="81" t="inlineStr">
        <is>
          <t>本身不受全面制裁，但地理上紧邻受制裁国，常被用于二次转运</t>
        </is>
      </c>
      <c r="E5" s="81" t="inlineStr">
        <is>
          <t>Sanctions Circumvention Risk → Sanctioned-Neighbor Exposure</t>
        </is>
      </c>
    </row>
    <row r="6" ht="60" customHeight="1">
      <c r="A6" s="80" t="inlineStr">
        <is>
          <t>CRITICAL_HQ_ROTATION</t>
        </is>
      </c>
      <c r="B6" s="81" t="inlineStr">
        <is>
          <t>Critical 公司 HQ 轮转</t>
        </is>
      </c>
      <c r="C6" s="81" t="inlineStr">
        <is>
          <t>IR, KP, SY, MM, CU</t>
        </is>
      </c>
      <c r="D6" s="81" t="inlineStr">
        <is>
          <t>保证生成的 Critical 公司覆盖五个主要受制裁辖区</t>
        </is>
      </c>
      <c r="E6" s="81" t="inlineStr">
        <is>
          <t>scripts/generate-companies.ts （生成器）</t>
        </is>
      </c>
    </row>
    <row r="7" ht="60" customHeight="1">
      <c r="A7" s="80" t="inlineStr">
        <is>
          <t>HIGH_RISK_HQ_ROTATION</t>
        </is>
      </c>
      <c r="B7" s="81" t="inlineStr">
        <is>
          <t>High 公司 HQ 轮转</t>
        </is>
      </c>
      <c r="C7" s="81" t="inlineStr">
        <is>
          <t>RU, BY, VE, NG, PK, ML, CD, LB, BD, HT, YE, PH, VN, BG, HR, MC</t>
        </is>
      </c>
      <c r="D7" s="81" t="inlineStr">
        <is>
          <t>为 High 等级公司提供多样的高风险但非全面制裁辖区</t>
        </is>
      </c>
      <c r="E7" s="81" t="inlineStr">
        <is>
          <t>scripts/generate-companies.ts （生成器）</t>
        </is>
      </c>
    </row>
    <row r="8" ht="60" customHeight="1">
      <c r="A8" s="80" t="inlineStr">
        <is>
          <t>FSI hubs 字典</t>
        </is>
      </c>
      <c r="B8" s="81" t="inlineStr">
        <is>
          <t>金融保密辖区分档</t>
        </is>
      </c>
      <c r="C8" s="81" t="inlineStr">
        <is>
          <t>UAE 78, Monaco 70, Singapore 70, Switzerland 65, HK 62, ...</t>
        </is>
      </c>
      <c r="D8" s="81" t="inlineStr">
        <is>
          <t>Tax Justice Network FSI 排名手工分档</t>
        </is>
      </c>
      <c r="E8" s="81" t="inlineStr">
        <is>
          <t>Country Context Enrichment → Financial Secrecy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2026-04-15T11:18:29Z</dcterms:created>
  <dcterms:modified xsi:type="dcterms:W3CDTF">2026-04-15T11:18:29Z</dcterms:modified>
</cp:coreProperties>
</file>